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F91BDA58-92A0-4151-811B-82989EBF6ECD}" xr6:coauthVersionLast="47" xr6:coauthVersionMax="47" xr10:uidLastSave="{00000000-0000-0000-0000-000000000000}"/>
  <bookViews>
    <workbookView xWindow="-120" yWindow="-120" windowWidth="20730" windowHeight="11040" xr2:uid="{9DF2A21D-0568-4D36-8DE5-4D7E19D221A5}"/>
  </bookViews>
  <sheets>
    <sheet name="2026 (Naveen)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'2026 (Naveen)'!$A$8:$AJ$314</definedName>
    <definedName name="Asset">[3]Code!$G$4:$G$13</definedName>
    <definedName name="Assetcode">[1]Code!$J$4:$J$13</definedName>
    <definedName name="Category">[1]Code!$B$3:$B$25</definedName>
    <definedName name="Department">[1]Code!$N$3:$N$18</definedName>
    <definedName name="Departmentall">[1]Code!$D$3:$D$36</definedName>
    <definedName name="Division">[1]Code!$H$3:$H$8</definedName>
    <definedName name="Model">[1]Code!$I$3:$I$19</definedName>
    <definedName name="update">[2]Code!$I$3:$I$19</definedName>
    <definedName name="x">[4]Code!$B$3:$B$25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314" i="1" l="1"/>
  <c r="N314" i="1"/>
  <c r="M314" i="1"/>
  <c r="AG313" i="1"/>
  <c r="M313" i="1"/>
  <c r="N313" i="1" s="1"/>
  <c r="AG312" i="1"/>
  <c r="N312" i="1"/>
  <c r="M312" i="1"/>
  <c r="AG311" i="1"/>
  <c r="M311" i="1"/>
  <c r="N311" i="1" s="1"/>
  <c r="AG310" i="1"/>
  <c r="N310" i="1"/>
  <c r="M310" i="1"/>
  <c r="AG309" i="1"/>
  <c r="M309" i="1"/>
  <c r="N309" i="1" s="1"/>
  <c r="AG308" i="1"/>
  <c r="N308" i="1"/>
  <c r="M308" i="1"/>
  <c r="AG307" i="1"/>
  <c r="N307" i="1"/>
  <c r="M307" i="1"/>
  <c r="L307" i="1"/>
  <c r="AG306" i="1"/>
  <c r="M306" i="1"/>
  <c r="N306" i="1" s="1"/>
  <c r="L306" i="1"/>
  <c r="AG305" i="1"/>
  <c r="M305" i="1"/>
  <c r="N305" i="1" s="1"/>
  <c r="L305" i="1"/>
  <c r="AG304" i="1"/>
  <c r="M304" i="1"/>
  <c r="N304" i="1" s="1"/>
  <c r="AG303" i="1"/>
  <c r="N303" i="1"/>
  <c r="M303" i="1"/>
  <c r="AG302" i="1"/>
  <c r="M302" i="1"/>
  <c r="N302" i="1" s="1"/>
  <c r="AG301" i="1"/>
  <c r="N301" i="1"/>
  <c r="M301" i="1"/>
  <c r="AG300" i="1"/>
  <c r="M300" i="1"/>
  <c r="N300" i="1" s="1"/>
  <c r="AG299" i="1"/>
  <c r="N299" i="1"/>
  <c r="M299" i="1"/>
  <c r="AG298" i="1"/>
  <c r="N298" i="1"/>
  <c r="M298" i="1"/>
  <c r="AG297" i="1"/>
  <c r="N297" i="1"/>
  <c r="M297" i="1"/>
  <c r="AG296" i="1"/>
  <c r="M296" i="1"/>
  <c r="N296" i="1" s="1"/>
  <c r="AG295" i="1"/>
  <c r="N295" i="1"/>
  <c r="M295" i="1"/>
  <c r="AG294" i="1"/>
  <c r="M294" i="1"/>
  <c r="N294" i="1" s="1"/>
  <c r="AG293" i="1"/>
  <c r="N293" i="1"/>
  <c r="M293" i="1"/>
  <c r="AG292" i="1"/>
  <c r="M292" i="1"/>
  <c r="N292" i="1" s="1"/>
  <c r="AG291" i="1"/>
  <c r="N291" i="1"/>
  <c r="M291" i="1"/>
  <c r="F291" i="1"/>
  <c r="AG290" i="1"/>
  <c r="N290" i="1"/>
  <c r="M290" i="1"/>
  <c r="L290" i="1"/>
  <c r="AG289" i="1"/>
  <c r="N289" i="1"/>
  <c r="M289" i="1"/>
  <c r="L289" i="1"/>
  <c r="AG288" i="1"/>
  <c r="M288" i="1"/>
  <c r="N288" i="1" s="1"/>
  <c r="L288" i="1"/>
  <c r="AG287" i="1"/>
  <c r="N287" i="1"/>
  <c r="M287" i="1"/>
  <c r="L287" i="1"/>
  <c r="AG286" i="1"/>
  <c r="N286" i="1"/>
  <c r="M286" i="1"/>
  <c r="L286" i="1"/>
  <c r="AG285" i="1"/>
  <c r="N285" i="1"/>
  <c r="M285" i="1"/>
  <c r="L285" i="1"/>
  <c r="AG284" i="1"/>
  <c r="M284" i="1"/>
  <c r="N284" i="1" s="1"/>
  <c r="L284" i="1"/>
  <c r="AG283" i="1"/>
  <c r="N283" i="1"/>
  <c r="M283" i="1"/>
  <c r="L283" i="1"/>
  <c r="AG282" i="1"/>
  <c r="M282" i="1"/>
  <c r="N282" i="1" s="1"/>
  <c r="AG281" i="1"/>
  <c r="N281" i="1"/>
  <c r="M281" i="1"/>
  <c r="AG280" i="1"/>
  <c r="N280" i="1"/>
  <c r="M280" i="1"/>
  <c r="AG279" i="1"/>
  <c r="N279" i="1"/>
  <c r="M279" i="1"/>
  <c r="AG278" i="1"/>
  <c r="N278" i="1"/>
  <c r="M278" i="1"/>
  <c r="AG277" i="1"/>
  <c r="M277" i="1"/>
  <c r="N277" i="1" s="1"/>
  <c r="AG276" i="1"/>
  <c r="M276" i="1"/>
  <c r="N276" i="1" s="1"/>
  <c r="AG275" i="1"/>
  <c r="M275" i="1"/>
  <c r="N275" i="1" s="1"/>
  <c r="AG274" i="1"/>
  <c r="M274" i="1"/>
  <c r="N274" i="1" s="1"/>
  <c r="AG273" i="1"/>
  <c r="M273" i="1"/>
  <c r="N273" i="1" s="1"/>
  <c r="AG272" i="1"/>
  <c r="N272" i="1"/>
  <c r="M272" i="1"/>
  <c r="AG271" i="1"/>
  <c r="M271" i="1"/>
  <c r="N271" i="1" s="1"/>
  <c r="AG270" i="1"/>
  <c r="M270" i="1"/>
  <c r="N270" i="1" s="1"/>
  <c r="AG269" i="1"/>
  <c r="N269" i="1"/>
  <c r="M269" i="1"/>
  <c r="AG268" i="1"/>
  <c r="M268" i="1"/>
  <c r="N268" i="1" s="1"/>
  <c r="AG267" i="1"/>
  <c r="M267" i="1"/>
  <c r="N267" i="1" s="1"/>
  <c r="AG266" i="1"/>
  <c r="N266" i="1"/>
  <c r="M266" i="1"/>
  <c r="AG265" i="1"/>
  <c r="N265" i="1"/>
  <c r="M265" i="1"/>
  <c r="AG264" i="1"/>
  <c r="M264" i="1"/>
  <c r="N264" i="1" s="1"/>
  <c r="AG263" i="1"/>
  <c r="N263" i="1"/>
  <c r="M263" i="1"/>
  <c r="AG262" i="1"/>
  <c r="M262" i="1"/>
  <c r="N262" i="1" s="1"/>
  <c r="AG261" i="1"/>
  <c r="M261" i="1"/>
  <c r="N261" i="1" s="1"/>
  <c r="AG260" i="1"/>
  <c r="N260" i="1"/>
  <c r="M260" i="1"/>
  <c r="AG259" i="1"/>
  <c r="N259" i="1"/>
  <c r="M259" i="1"/>
  <c r="AG258" i="1"/>
  <c r="N258" i="1"/>
  <c r="M258" i="1"/>
  <c r="AG257" i="1"/>
  <c r="N257" i="1"/>
  <c r="M257" i="1"/>
  <c r="AG256" i="1"/>
  <c r="M256" i="1"/>
  <c r="N256" i="1" s="1"/>
  <c r="AG255" i="1"/>
  <c r="N255" i="1"/>
  <c r="M255" i="1"/>
  <c r="AG254" i="1"/>
  <c r="M254" i="1"/>
  <c r="N254" i="1" s="1"/>
  <c r="AG253" i="1"/>
  <c r="M253" i="1"/>
  <c r="N253" i="1" s="1"/>
  <c r="AG252" i="1"/>
  <c r="M252" i="1"/>
  <c r="N252" i="1" s="1"/>
  <c r="AG251" i="1"/>
  <c r="M251" i="1"/>
  <c r="N251" i="1" s="1"/>
  <c r="AG250" i="1"/>
  <c r="N250" i="1"/>
  <c r="M250" i="1"/>
  <c r="AG249" i="1"/>
  <c r="M249" i="1"/>
  <c r="N249" i="1" s="1"/>
  <c r="AG248" i="1"/>
  <c r="M248" i="1"/>
  <c r="N248" i="1" s="1"/>
  <c r="AG247" i="1"/>
  <c r="N247" i="1"/>
  <c r="M247" i="1"/>
  <c r="AG246" i="1"/>
  <c r="M246" i="1"/>
  <c r="N246" i="1" s="1"/>
  <c r="AG245" i="1"/>
  <c r="M245" i="1"/>
  <c r="N245" i="1" s="1"/>
  <c r="AG244" i="1"/>
  <c r="N244" i="1"/>
  <c r="M244" i="1"/>
  <c r="AG243" i="1"/>
  <c r="N243" i="1"/>
  <c r="M243" i="1"/>
  <c r="AG242" i="1"/>
  <c r="N242" i="1"/>
  <c r="M242" i="1"/>
  <c r="AG241" i="1"/>
  <c r="N241" i="1"/>
  <c r="M241" i="1"/>
  <c r="AG240" i="1"/>
  <c r="N240" i="1"/>
  <c r="M240" i="1"/>
  <c r="AG239" i="1"/>
  <c r="N239" i="1"/>
  <c r="M239" i="1"/>
  <c r="AG238" i="1"/>
  <c r="M238" i="1"/>
  <c r="N238" i="1" s="1"/>
  <c r="AG237" i="1"/>
  <c r="M237" i="1"/>
  <c r="N237" i="1" s="1"/>
  <c r="AG236" i="1"/>
  <c r="N236" i="1"/>
  <c r="M236" i="1"/>
  <c r="AG235" i="1"/>
  <c r="N235" i="1"/>
  <c r="M235" i="1"/>
  <c r="AG234" i="1"/>
  <c r="M234" i="1"/>
  <c r="N234" i="1" s="1"/>
  <c r="AG233" i="1"/>
  <c r="M233" i="1"/>
  <c r="N233" i="1" s="1"/>
  <c r="AG232" i="1"/>
  <c r="M232" i="1"/>
  <c r="N232" i="1" s="1"/>
  <c r="AG231" i="1"/>
  <c r="N231" i="1"/>
  <c r="M231" i="1"/>
  <c r="AG230" i="1"/>
  <c r="N230" i="1"/>
  <c r="M230" i="1"/>
  <c r="AG229" i="1"/>
  <c r="M229" i="1"/>
  <c r="N229" i="1" s="1"/>
  <c r="AG228" i="1"/>
  <c r="N228" i="1"/>
  <c r="M228" i="1"/>
  <c r="AG227" i="1"/>
  <c r="N227" i="1"/>
  <c r="M227" i="1"/>
  <c r="AG226" i="1"/>
  <c r="M226" i="1"/>
  <c r="N226" i="1" s="1"/>
  <c r="AG225" i="1"/>
  <c r="M225" i="1"/>
  <c r="N225" i="1" s="1"/>
  <c r="AG224" i="1"/>
  <c r="M224" i="1"/>
  <c r="N224" i="1" s="1"/>
  <c r="AG223" i="1"/>
  <c r="N223" i="1"/>
  <c r="M223" i="1"/>
  <c r="AG222" i="1"/>
  <c r="N222" i="1"/>
  <c r="M222" i="1"/>
  <c r="AG221" i="1"/>
  <c r="M221" i="1"/>
  <c r="N221" i="1" s="1"/>
  <c r="AG220" i="1"/>
  <c r="N220" i="1"/>
  <c r="M220" i="1"/>
  <c r="AG219" i="1"/>
  <c r="M219" i="1"/>
  <c r="N219" i="1" s="1"/>
  <c r="AG218" i="1"/>
  <c r="M218" i="1"/>
  <c r="N218" i="1" s="1"/>
  <c r="AG217" i="1"/>
  <c r="M217" i="1"/>
  <c r="N217" i="1" s="1"/>
  <c r="AG216" i="1"/>
  <c r="M216" i="1"/>
  <c r="N216" i="1" s="1"/>
  <c r="AG215" i="1"/>
  <c r="N215" i="1"/>
  <c r="M215" i="1"/>
  <c r="AG214" i="1"/>
  <c r="N214" i="1"/>
  <c r="M214" i="1"/>
  <c r="AG213" i="1"/>
  <c r="N213" i="1"/>
  <c r="M213" i="1"/>
  <c r="AG212" i="1"/>
  <c r="M212" i="1"/>
  <c r="N212" i="1" s="1"/>
  <c r="AG211" i="1"/>
  <c r="N211" i="1"/>
  <c r="M211" i="1"/>
  <c r="AG210" i="1"/>
  <c r="M210" i="1"/>
  <c r="N210" i="1" s="1"/>
  <c r="AG209" i="1"/>
  <c r="M209" i="1"/>
  <c r="N209" i="1" s="1"/>
  <c r="AG208" i="1"/>
  <c r="M208" i="1"/>
  <c r="N208" i="1" s="1"/>
  <c r="AG207" i="1"/>
  <c r="N207" i="1"/>
  <c r="M207" i="1"/>
  <c r="AG206" i="1"/>
  <c r="N206" i="1"/>
  <c r="M206" i="1"/>
  <c r="AG205" i="1"/>
  <c r="N205" i="1"/>
  <c r="M205" i="1"/>
  <c r="AG204" i="1"/>
  <c r="N204" i="1"/>
  <c r="M204" i="1"/>
  <c r="AG203" i="1"/>
  <c r="N203" i="1"/>
  <c r="M203" i="1"/>
  <c r="AG202" i="1"/>
  <c r="M202" i="1"/>
  <c r="N202" i="1" s="1"/>
  <c r="AG201" i="1"/>
  <c r="M201" i="1"/>
  <c r="N201" i="1" s="1"/>
  <c r="L201" i="1"/>
  <c r="AG200" i="1"/>
  <c r="N200" i="1"/>
  <c r="M200" i="1"/>
  <c r="AG199" i="1"/>
  <c r="M199" i="1"/>
  <c r="N199" i="1" s="1"/>
  <c r="AG198" i="1"/>
  <c r="M198" i="1"/>
  <c r="N198" i="1" s="1"/>
  <c r="AG197" i="1"/>
  <c r="N197" i="1"/>
  <c r="M197" i="1"/>
  <c r="AG196" i="1"/>
  <c r="N196" i="1"/>
  <c r="M196" i="1"/>
  <c r="AG195" i="1"/>
  <c r="N195" i="1"/>
  <c r="M195" i="1"/>
  <c r="AG194" i="1"/>
  <c r="N194" i="1"/>
  <c r="M194" i="1"/>
  <c r="AG193" i="1"/>
  <c r="N193" i="1"/>
  <c r="M193" i="1"/>
  <c r="AG192" i="1"/>
  <c r="N192" i="1"/>
  <c r="M192" i="1"/>
  <c r="AG191" i="1"/>
  <c r="M191" i="1"/>
  <c r="N191" i="1" s="1"/>
  <c r="AG190" i="1"/>
  <c r="M190" i="1"/>
  <c r="N190" i="1" s="1"/>
  <c r="AG189" i="1"/>
  <c r="N189" i="1"/>
  <c r="M189" i="1"/>
  <c r="AG188" i="1"/>
  <c r="N188" i="1"/>
  <c r="M188" i="1"/>
  <c r="AG187" i="1"/>
  <c r="N187" i="1"/>
  <c r="M187" i="1"/>
  <c r="AG186" i="1"/>
  <c r="N186" i="1"/>
  <c r="M186" i="1"/>
  <c r="AG185" i="1"/>
  <c r="N185" i="1"/>
  <c r="M185" i="1"/>
  <c r="AG184" i="1"/>
  <c r="M184" i="1"/>
  <c r="N184" i="1" s="1"/>
  <c r="AG183" i="1"/>
  <c r="M183" i="1"/>
  <c r="N183" i="1" s="1"/>
  <c r="AG182" i="1"/>
  <c r="M182" i="1"/>
  <c r="N182" i="1" s="1"/>
  <c r="AG181" i="1"/>
  <c r="M181" i="1"/>
  <c r="N181" i="1" s="1"/>
  <c r="AG180" i="1"/>
  <c r="N180" i="1"/>
  <c r="M180" i="1"/>
  <c r="AG179" i="1"/>
  <c r="N179" i="1"/>
  <c r="M179" i="1"/>
  <c r="AG178" i="1"/>
  <c r="M178" i="1"/>
  <c r="N178" i="1" s="1"/>
  <c r="AG177" i="1"/>
  <c r="N177" i="1"/>
  <c r="M177" i="1"/>
  <c r="AG176" i="1"/>
  <c r="N176" i="1"/>
  <c r="M176" i="1"/>
  <c r="AG175" i="1"/>
  <c r="M175" i="1"/>
  <c r="N175" i="1" s="1"/>
  <c r="AG174" i="1"/>
  <c r="M174" i="1"/>
  <c r="N174" i="1" s="1"/>
  <c r="AG173" i="1"/>
  <c r="N173" i="1"/>
  <c r="M173" i="1"/>
  <c r="AG172" i="1"/>
  <c r="N172" i="1"/>
  <c r="M172" i="1"/>
  <c r="AG171" i="1"/>
  <c r="N171" i="1"/>
  <c r="M171" i="1"/>
  <c r="AG170" i="1"/>
  <c r="N170" i="1"/>
  <c r="M170" i="1"/>
  <c r="AG169" i="1"/>
  <c r="N169" i="1"/>
  <c r="M169" i="1"/>
  <c r="AG168" i="1"/>
  <c r="N168" i="1"/>
  <c r="M168" i="1"/>
  <c r="AG167" i="1"/>
  <c r="M167" i="1"/>
  <c r="N167" i="1" s="1"/>
  <c r="AG166" i="1"/>
  <c r="M166" i="1"/>
  <c r="N166" i="1" s="1"/>
  <c r="AG165" i="1"/>
  <c r="N165" i="1"/>
  <c r="M165" i="1"/>
  <c r="AG164" i="1"/>
  <c r="N164" i="1"/>
  <c r="M164" i="1"/>
  <c r="AG163" i="1"/>
  <c r="N163" i="1"/>
  <c r="M163" i="1"/>
  <c r="AG162" i="1"/>
  <c r="N162" i="1"/>
  <c r="M162" i="1"/>
  <c r="AG161" i="1"/>
  <c r="M161" i="1"/>
  <c r="N161" i="1" s="1"/>
  <c r="AG160" i="1"/>
  <c r="M160" i="1"/>
  <c r="N160" i="1" s="1"/>
  <c r="AG159" i="1"/>
  <c r="M159" i="1"/>
  <c r="N159" i="1" s="1"/>
  <c r="AG158" i="1"/>
  <c r="M158" i="1"/>
  <c r="N158" i="1" s="1"/>
  <c r="AG157" i="1"/>
  <c r="N157" i="1"/>
  <c r="M157" i="1"/>
  <c r="AG156" i="1"/>
  <c r="N156" i="1"/>
  <c r="M156" i="1"/>
  <c r="AG155" i="1"/>
  <c r="N155" i="1"/>
  <c r="M155" i="1"/>
  <c r="AG154" i="1"/>
  <c r="N154" i="1"/>
  <c r="M154" i="1"/>
  <c r="AG153" i="1"/>
  <c r="M153" i="1"/>
  <c r="N153" i="1" s="1"/>
  <c r="AG152" i="1"/>
  <c r="M152" i="1"/>
  <c r="N152" i="1" s="1"/>
  <c r="AG151" i="1"/>
  <c r="N151" i="1"/>
  <c r="M151" i="1"/>
  <c r="AG150" i="1"/>
  <c r="N150" i="1"/>
  <c r="M150" i="1"/>
  <c r="AG149" i="1"/>
  <c r="N149" i="1"/>
  <c r="M149" i="1"/>
  <c r="AG148" i="1"/>
  <c r="M148" i="1"/>
  <c r="N148" i="1" s="1"/>
  <c r="AG147" i="1"/>
  <c r="M147" i="1"/>
  <c r="N147" i="1" s="1"/>
  <c r="AG146" i="1"/>
  <c r="N146" i="1"/>
  <c r="M146" i="1"/>
  <c r="AG145" i="1"/>
  <c r="M145" i="1"/>
  <c r="N145" i="1" s="1"/>
  <c r="AG144" i="1"/>
  <c r="M144" i="1"/>
  <c r="N144" i="1" s="1"/>
  <c r="L144" i="1"/>
  <c r="L7" i="1" s="1"/>
  <c r="AG143" i="1"/>
  <c r="N143" i="1"/>
  <c r="M143" i="1"/>
  <c r="AG142" i="1"/>
  <c r="M142" i="1"/>
  <c r="N142" i="1" s="1"/>
  <c r="AG141" i="1"/>
  <c r="M141" i="1"/>
  <c r="N141" i="1" s="1"/>
  <c r="AG140" i="1"/>
  <c r="M140" i="1"/>
  <c r="N140" i="1" s="1"/>
  <c r="AG139" i="1"/>
  <c r="N139" i="1"/>
  <c r="M139" i="1"/>
  <c r="AG138" i="1"/>
  <c r="N138" i="1"/>
  <c r="M138" i="1"/>
  <c r="AG137" i="1"/>
  <c r="M137" i="1"/>
  <c r="N137" i="1" s="1"/>
  <c r="AG136" i="1"/>
  <c r="N136" i="1"/>
  <c r="M136" i="1"/>
  <c r="AG135" i="1"/>
  <c r="N135" i="1"/>
  <c r="M135" i="1"/>
  <c r="AG134" i="1"/>
  <c r="M134" i="1"/>
  <c r="N134" i="1" s="1"/>
  <c r="AG133" i="1"/>
  <c r="M133" i="1"/>
  <c r="N133" i="1" s="1"/>
  <c r="AG132" i="1"/>
  <c r="N132" i="1"/>
  <c r="M132" i="1"/>
  <c r="AG131" i="1"/>
  <c r="N131" i="1"/>
  <c r="M131" i="1"/>
  <c r="AG130" i="1"/>
  <c r="N130" i="1"/>
  <c r="M130" i="1"/>
  <c r="AG129" i="1"/>
  <c r="M129" i="1"/>
  <c r="N129" i="1" s="1"/>
  <c r="AG128" i="1"/>
  <c r="N128" i="1"/>
  <c r="M128" i="1"/>
  <c r="AG127" i="1"/>
  <c r="N127" i="1"/>
  <c r="M127" i="1"/>
  <c r="AG126" i="1"/>
  <c r="M126" i="1"/>
  <c r="N126" i="1" s="1"/>
  <c r="AG125" i="1"/>
  <c r="M125" i="1"/>
  <c r="N125" i="1" s="1"/>
  <c r="AG124" i="1"/>
  <c r="N124" i="1"/>
  <c r="M124" i="1"/>
  <c r="AG123" i="1"/>
  <c r="N123" i="1"/>
  <c r="M123" i="1"/>
  <c r="AG122" i="1"/>
  <c r="N122" i="1"/>
  <c r="M122" i="1"/>
  <c r="AG121" i="1"/>
  <c r="N121" i="1"/>
  <c r="M121" i="1"/>
  <c r="AG120" i="1"/>
  <c r="N120" i="1"/>
  <c r="M120" i="1"/>
  <c r="AG119" i="1"/>
  <c r="M119" i="1"/>
  <c r="N119" i="1" s="1"/>
  <c r="L119" i="1"/>
  <c r="AG118" i="1"/>
  <c r="N118" i="1"/>
  <c r="M118" i="1"/>
  <c r="AG117" i="1"/>
  <c r="M117" i="1"/>
  <c r="N117" i="1" s="1"/>
  <c r="AG116" i="1"/>
  <c r="M116" i="1"/>
  <c r="N116" i="1" s="1"/>
  <c r="AG115" i="1"/>
  <c r="M115" i="1"/>
  <c r="N115" i="1" s="1"/>
  <c r="AG114" i="1"/>
  <c r="M114" i="1"/>
  <c r="N114" i="1" s="1"/>
  <c r="AG113" i="1"/>
  <c r="N113" i="1"/>
  <c r="M113" i="1"/>
  <c r="AG112" i="1"/>
  <c r="N112" i="1"/>
  <c r="M112" i="1"/>
  <c r="AG111" i="1"/>
  <c r="N111" i="1"/>
  <c r="M111" i="1"/>
  <c r="AG110" i="1"/>
  <c r="N110" i="1"/>
  <c r="M110" i="1"/>
  <c r="AG109" i="1"/>
  <c r="N109" i="1"/>
  <c r="M109" i="1"/>
  <c r="AG108" i="1"/>
  <c r="M108" i="1"/>
  <c r="N108" i="1" s="1"/>
  <c r="AG107" i="1"/>
  <c r="M107" i="1"/>
  <c r="N107" i="1" s="1"/>
  <c r="AG106" i="1"/>
  <c r="M106" i="1"/>
  <c r="N106" i="1" s="1"/>
  <c r="AG105" i="1"/>
  <c r="M105" i="1"/>
  <c r="N105" i="1" s="1"/>
  <c r="AG104" i="1"/>
  <c r="N104" i="1"/>
  <c r="M104" i="1"/>
  <c r="AG103" i="1"/>
  <c r="N103" i="1"/>
  <c r="M103" i="1"/>
  <c r="AG102" i="1"/>
  <c r="M102" i="1"/>
  <c r="N102" i="1" s="1"/>
  <c r="AG101" i="1"/>
  <c r="N101" i="1"/>
  <c r="M101" i="1"/>
  <c r="AG100" i="1"/>
  <c r="N100" i="1"/>
  <c r="M100" i="1"/>
  <c r="AG99" i="1"/>
  <c r="M99" i="1"/>
  <c r="N99" i="1" s="1"/>
  <c r="L99" i="1"/>
  <c r="AG98" i="1"/>
  <c r="N98" i="1"/>
  <c r="M98" i="1"/>
  <c r="L98" i="1"/>
  <c r="AG97" i="1"/>
  <c r="N97" i="1"/>
  <c r="M97" i="1"/>
  <c r="AG96" i="1"/>
  <c r="M96" i="1"/>
  <c r="N96" i="1" s="1"/>
  <c r="AG95" i="1"/>
  <c r="M95" i="1"/>
  <c r="N95" i="1" s="1"/>
  <c r="AG94" i="1"/>
  <c r="N94" i="1"/>
  <c r="M94" i="1"/>
  <c r="AG93" i="1"/>
  <c r="M93" i="1"/>
  <c r="N93" i="1" s="1"/>
  <c r="AG92" i="1"/>
  <c r="M92" i="1"/>
  <c r="N92" i="1" s="1"/>
  <c r="AG91" i="1"/>
  <c r="M91" i="1"/>
  <c r="N91" i="1" s="1"/>
  <c r="AG90" i="1"/>
  <c r="N90" i="1"/>
  <c r="M90" i="1"/>
  <c r="AG89" i="1"/>
  <c r="N89" i="1"/>
  <c r="M89" i="1"/>
  <c r="AG88" i="1"/>
  <c r="N88" i="1"/>
  <c r="M88" i="1"/>
  <c r="AG87" i="1"/>
  <c r="N87" i="1"/>
  <c r="M87" i="1"/>
  <c r="AG86" i="1"/>
  <c r="N86" i="1"/>
  <c r="M86" i="1"/>
  <c r="AG85" i="1"/>
  <c r="M85" i="1"/>
  <c r="N85" i="1" s="1"/>
  <c r="AG84" i="1"/>
  <c r="M84" i="1"/>
  <c r="N84" i="1" s="1"/>
  <c r="AG83" i="1"/>
  <c r="N83" i="1"/>
  <c r="M83" i="1"/>
  <c r="AG82" i="1"/>
  <c r="N82" i="1"/>
  <c r="M82" i="1"/>
  <c r="AG81" i="1"/>
  <c r="N81" i="1"/>
  <c r="M81" i="1"/>
  <c r="AG80" i="1"/>
  <c r="M80" i="1"/>
  <c r="N80" i="1" s="1"/>
  <c r="AG79" i="1"/>
  <c r="M79" i="1"/>
  <c r="N79" i="1" s="1"/>
  <c r="AG78" i="1"/>
  <c r="N78" i="1"/>
  <c r="M78" i="1"/>
  <c r="AG77" i="1"/>
  <c r="M77" i="1"/>
  <c r="N77" i="1" s="1"/>
  <c r="AG76" i="1"/>
  <c r="M76" i="1"/>
  <c r="N76" i="1" s="1"/>
  <c r="AG75" i="1"/>
  <c r="M75" i="1"/>
  <c r="N75" i="1" s="1"/>
  <c r="AG74" i="1"/>
  <c r="N74" i="1"/>
  <c r="M74" i="1"/>
  <c r="AG73" i="1"/>
  <c r="N73" i="1"/>
  <c r="M73" i="1"/>
  <c r="AG72" i="1"/>
  <c r="N72" i="1"/>
  <c r="M72" i="1"/>
  <c r="AG71" i="1"/>
  <c r="N71" i="1"/>
  <c r="M71" i="1"/>
  <c r="AG70" i="1"/>
  <c r="N70" i="1"/>
  <c r="M70" i="1"/>
  <c r="AG69" i="1"/>
  <c r="M69" i="1"/>
  <c r="N69" i="1" s="1"/>
  <c r="AG68" i="1"/>
  <c r="N68" i="1"/>
  <c r="M68" i="1"/>
  <c r="AG67" i="1"/>
  <c r="M67" i="1"/>
  <c r="N67" i="1" s="1"/>
  <c r="AG66" i="1"/>
  <c r="M66" i="1"/>
  <c r="N66" i="1" s="1"/>
  <c r="AG65" i="1"/>
  <c r="N65" i="1"/>
  <c r="M65" i="1"/>
  <c r="AG64" i="1"/>
  <c r="M64" i="1"/>
  <c r="N64" i="1" s="1"/>
  <c r="AG63" i="1"/>
  <c r="M63" i="1"/>
  <c r="N63" i="1" s="1"/>
  <c r="AG62" i="1"/>
  <c r="N62" i="1"/>
  <c r="M62" i="1"/>
  <c r="AG61" i="1"/>
  <c r="M61" i="1"/>
  <c r="N61" i="1" s="1"/>
  <c r="AG60" i="1"/>
  <c r="N60" i="1"/>
  <c r="M60" i="1"/>
  <c r="AG59" i="1"/>
  <c r="M59" i="1"/>
  <c r="N59" i="1" s="1"/>
  <c r="AG58" i="1"/>
  <c r="N58" i="1"/>
  <c r="M58" i="1"/>
  <c r="AG57" i="1"/>
  <c r="N57" i="1"/>
  <c r="M57" i="1"/>
  <c r="AG56" i="1"/>
  <c r="M56" i="1"/>
  <c r="N56" i="1" s="1"/>
  <c r="AG55" i="1"/>
  <c r="M55" i="1"/>
  <c r="N55" i="1" s="1"/>
  <c r="AG54" i="1"/>
  <c r="M54" i="1"/>
  <c r="N54" i="1" s="1"/>
  <c r="AG53" i="1"/>
  <c r="M53" i="1"/>
  <c r="N53" i="1" s="1"/>
  <c r="AG52" i="1"/>
  <c r="N52" i="1"/>
  <c r="M52" i="1"/>
  <c r="AG51" i="1"/>
  <c r="N51" i="1"/>
  <c r="M51" i="1"/>
  <c r="AG50" i="1"/>
  <c r="M50" i="1"/>
  <c r="N50" i="1" s="1"/>
  <c r="AG49" i="1"/>
  <c r="N49" i="1"/>
  <c r="M49" i="1"/>
  <c r="AG48" i="1"/>
  <c r="M48" i="1"/>
  <c r="N48" i="1" s="1"/>
  <c r="AG47" i="1"/>
  <c r="M47" i="1"/>
  <c r="N47" i="1" s="1"/>
  <c r="AG46" i="1"/>
  <c r="N46" i="1"/>
  <c r="M46" i="1"/>
  <c r="AG45" i="1"/>
  <c r="M45" i="1"/>
  <c r="N45" i="1" s="1"/>
  <c r="AG44" i="1"/>
  <c r="N44" i="1"/>
  <c r="M44" i="1"/>
  <c r="AG43" i="1"/>
  <c r="N43" i="1"/>
  <c r="M43" i="1"/>
  <c r="AG42" i="1"/>
  <c r="M42" i="1"/>
  <c r="N42" i="1" s="1"/>
  <c r="AG41" i="1"/>
  <c r="M41" i="1"/>
  <c r="N41" i="1" s="1"/>
  <c r="AG40" i="1"/>
  <c r="N40" i="1"/>
  <c r="M40" i="1"/>
  <c r="AG39" i="1"/>
  <c r="M39" i="1"/>
  <c r="N39" i="1" s="1"/>
  <c r="AG38" i="1"/>
  <c r="M38" i="1"/>
  <c r="N38" i="1" s="1"/>
  <c r="AG37" i="1"/>
  <c r="M37" i="1"/>
  <c r="N37" i="1" s="1"/>
  <c r="AG36" i="1"/>
  <c r="N36" i="1"/>
  <c r="M36" i="1"/>
  <c r="AG35" i="1"/>
  <c r="M35" i="1"/>
  <c r="N35" i="1" s="1"/>
  <c r="AG34" i="1"/>
  <c r="M34" i="1"/>
  <c r="N34" i="1" s="1"/>
  <c r="AG33" i="1"/>
  <c r="M33" i="1"/>
  <c r="N33" i="1" s="1"/>
  <c r="AG32" i="1"/>
  <c r="M32" i="1"/>
  <c r="N32" i="1" s="1"/>
  <c r="AG31" i="1"/>
  <c r="M31" i="1"/>
  <c r="N31" i="1" s="1"/>
  <c r="AG30" i="1"/>
  <c r="M30" i="1"/>
  <c r="N30" i="1" s="1"/>
  <c r="AG29" i="1"/>
  <c r="N29" i="1"/>
  <c r="M29" i="1"/>
  <c r="AG28" i="1"/>
  <c r="N28" i="1"/>
  <c r="M28" i="1"/>
  <c r="AG27" i="1"/>
  <c r="M27" i="1"/>
  <c r="N27" i="1" s="1"/>
  <c r="AG26" i="1"/>
  <c r="N26" i="1"/>
  <c r="M26" i="1"/>
  <c r="AG25" i="1"/>
  <c r="M25" i="1"/>
  <c r="N25" i="1" s="1"/>
  <c r="AG24" i="1"/>
  <c r="M24" i="1"/>
  <c r="N24" i="1" s="1"/>
  <c r="AG23" i="1"/>
  <c r="M23" i="1"/>
  <c r="N23" i="1" s="1"/>
  <c r="AG22" i="1"/>
  <c r="N22" i="1"/>
  <c r="M22" i="1"/>
  <c r="AG21" i="1"/>
  <c r="M21" i="1"/>
  <c r="N21" i="1" s="1"/>
  <c r="AG20" i="1"/>
  <c r="N20" i="1"/>
  <c r="M20" i="1"/>
  <c r="AG19" i="1"/>
  <c r="M19" i="1"/>
  <c r="N19" i="1" s="1"/>
  <c r="AG18" i="1"/>
  <c r="M18" i="1"/>
  <c r="N18" i="1" s="1"/>
  <c r="AG17" i="1"/>
  <c r="N17" i="1"/>
  <c r="M17" i="1"/>
  <c r="AG16" i="1"/>
  <c r="M16" i="1"/>
  <c r="N16" i="1" s="1"/>
  <c r="AG15" i="1"/>
  <c r="M15" i="1"/>
  <c r="N15" i="1" s="1"/>
  <c r="AG14" i="1"/>
  <c r="N14" i="1"/>
  <c r="M14" i="1"/>
  <c r="AG13" i="1"/>
  <c r="N13" i="1"/>
  <c r="M13" i="1"/>
  <c r="AG12" i="1"/>
  <c r="N12" i="1"/>
  <c r="M12" i="1"/>
  <c r="AG11" i="1"/>
  <c r="N11" i="1"/>
  <c r="M11" i="1"/>
  <c r="AG10" i="1"/>
  <c r="M10" i="1"/>
  <c r="N10" i="1" s="1"/>
  <c r="AG9" i="1"/>
  <c r="M9" i="1"/>
  <c r="N9" i="1" s="1"/>
  <c r="D6" i="1"/>
  <c r="L5" i="1"/>
  <c r="L4" i="1" s="1"/>
  <c r="Z4" i="1"/>
  <c r="Z191" i="1" s="1"/>
  <c r="D4" i="1"/>
  <c r="AF3" i="1"/>
  <c r="AD3" i="1"/>
  <c r="AB3" i="1"/>
  <c r="R3" i="1"/>
  <c r="P3" i="1"/>
  <c r="AF1" i="1"/>
  <c r="AD1" i="1"/>
  <c r="AB1" i="1"/>
  <c r="Z1" i="1"/>
  <c r="X1" i="1"/>
  <c r="V1" i="1"/>
  <c r="T1" i="1"/>
  <c r="R1" i="1"/>
  <c r="P1" i="1"/>
  <c r="Z29" i="1" l="1"/>
  <c r="Y102" i="1"/>
  <c r="Y12" i="1"/>
  <c r="Z33" i="1"/>
  <c r="Z128" i="1"/>
  <c r="Y17" i="1"/>
  <c r="Z26" i="1"/>
  <c r="Z55" i="1"/>
  <c r="Z116" i="1"/>
  <c r="Y138" i="1"/>
  <c r="Z152" i="1"/>
  <c r="Z190" i="1"/>
  <c r="Z18" i="1"/>
  <c r="Z229" i="1"/>
  <c r="Y21" i="1"/>
  <c r="Y26" i="1"/>
  <c r="Y35" i="1"/>
  <c r="Y44" i="1"/>
  <c r="Y75" i="1"/>
  <c r="Y148" i="1"/>
  <c r="Z10" i="1"/>
  <c r="Y15" i="1"/>
  <c r="Y23" i="1"/>
  <c r="V4" i="1"/>
  <c r="X4" i="1"/>
  <c r="Z25" i="1"/>
  <c r="Z30" i="1"/>
  <c r="Z32" i="1"/>
  <c r="Z54" i="1"/>
  <c r="Y72" i="1"/>
  <c r="Y101" i="1"/>
  <c r="Z165" i="1"/>
  <c r="Z174" i="1"/>
  <c r="Y9" i="1"/>
  <c r="Y36" i="1"/>
  <c r="Z45" i="1"/>
  <c r="Y47" i="1"/>
  <c r="Y51" i="1"/>
  <c r="Y57" i="1"/>
  <c r="Z71" i="1"/>
  <c r="Z106" i="1"/>
  <c r="Y132" i="1"/>
  <c r="Z147" i="1"/>
  <c r="Y62" i="1"/>
  <c r="Y11" i="1"/>
  <c r="Z12" i="1"/>
  <c r="Z21" i="1"/>
  <c r="Z28" i="1"/>
  <c r="Z39" i="1"/>
  <c r="Y67" i="1"/>
  <c r="Y74" i="1"/>
  <c r="Y98" i="1"/>
  <c r="Z150" i="1"/>
  <c r="Z15" i="1"/>
  <c r="Z23" i="1"/>
  <c r="Z41" i="1"/>
  <c r="Y68" i="1"/>
  <c r="Y71" i="1"/>
  <c r="P4" i="1"/>
  <c r="Y20" i="1"/>
  <c r="Y27" i="1"/>
  <c r="R4" i="1"/>
  <c r="Z9" i="1"/>
  <c r="Z22" i="1"/>
  <c r="Y38" i="1"/>
  <c r="Z47" i="1"/>
  <c r="Y314" i="1"/>
  <c r="Z309" i="1"/>
  <c r="Z306" i="1"/>
  <c r="Z300" i="1"/>
  <c r="Y297" i="1"/>
  <c r="Z292" i="1"/>
  <c r="Y288" i="1"/>
  <c r="Y284" i="1"/>
  <c r="Z312" i="1"/>
  <c r="Y309" i="1"/>
  <c r="Y306" i="1"/>
  <c r="Z303" i="1"/>
  <c r="Y300" i="1"/>
  <c r="Z295" i="1"/>
  <c r="Y292" i="1"/>
  <c r="Z289" i="1"/>
  <c r="Z285" i="1"/>
  <c r="Y312" i="1"/>
  <c r="Z307" i="1"/>
  <c r="Y303" i="1"/>
  <c r="Z298" i="1"/>
  <c r="Y295" i="1"/>
  <c r="Y289" i="1"/>
  <c r="Y285" i="1"/>
  <c r="Z279" i="1"/>
  <c r="Y308" i="1"/>
  <c r="Y299" i="1"/>
  <c r="Y291" i="1"/>
  <c r="Z313" i="1"/>
  <c r="Z304" i="1"/>
  <c r="Z296" i="1"/>
  <c r="Y276" i="1"/>
  <c r="Z271" i="1"/>
  <c r="Y268" i="1"/>
  <c r="Y298" i="1"/>
  <c r="Z287" i="1"/>
  <c r="Y277" i="1"/>
  <c r="Y274" i="1"/>
  <c r="Y271" i="1"/>
  <c r="Z268" i="1"/>
  <c r="Y264" i="1"/>
  <c r="Z259" i="1"/>
  <c r="Y307" i="1"/>
  <c r="Z290" i="1"/>
  <c r="Y287" i="1"/>
  <c r="Z262" i="1"/>
  <c r="Y259" i="1"/>
  <c r="Z254" i="1"/>
  <c r="Y251" i="1"/>
  <c r="Z305" i="1"/>
  <c r="Y290" i="1"/>
  <c r="Z273" i="1"/>
  <c r="Z270" i="1"/>
  <c r="Z267" i="1"/>
  <c r="Z265" i="1"/>
  <c r="Y262" i="1"/>
  <c r="Z257" i="1"/>
  <c r="Y254" i="1"/>
  <c r="Z249" i="1"/>
  <c r="Y246" i="1"/>
  <c r="Y305" i="1"/>
  <c r="Z299" i="1"/>
  <c r="Z286" i="1"/>
  <c r="Z281" i="1"/>
  <c r="Z280" i="1"/>
  <c r="Z276" i="1"/>
  <c r="Y273" i="1"/>
  <c r="Y270" i="1"/>
  <c r="Y267" i="1"/>
  <c r="Y265" i="1"/>
  <c r="Z260" i="1"/>
  <c r="Z314" i="1"/>
  <c r="Z308" i="1"/>
  <c r="Y304" i="1"/>
  <c r="Z302" i="1"/>
  <c r="Z301" i="1"/>
  <c r="Z297" i="1"/>
  <c r="Z291" i="1"/>
  <c r="Y286" i="1"/>
  <c r="Z282" i="1"/>
  <c r="Y281" i="1"/>
  <c r="Y280" i="1"/>
  <c r="Y279" i="1"/>
  <c r="Z272" i="1"/>
  <c r="Z269" i="1"/>
  <c r="Z263" i="1"/>
  <c r="Y260" i="1"/>
  <c r="Z310" i="1"/>
  <c r="Z277" i="1"/>
  <c r="Y275" i="1"/>
  <c r="Y272" i="1"/>
  <c r="Y248" i="1"/>
  <c r="Z247" i="1"/>
  <c r="Z244" i="1"/>
  <c r="Z238" i="1"/>
  <c r="Y235" i="1"/>
  <c r="Z230" i="1"/>
  <c r="Y227" i="1"/>
  <c r="Z222" i="1"/>
  <c r="Y219" i="1"/>
  <c r="Y310" i="1"/>
  <c r="Y302" i="1"/>
  <c r="Z294" i="1"/>
  <c r="Z274" i="1"/>
  <c r="Y269" i="1"/>
  <c r="Y247" i="1"/>
  <c r="Y244" i="1"/>
  <c r="Z241" i="1"/>
  <c r="Y238" i="1"/>
  <c r="Z233" i="1"/>
  <c r="Y230" i="1"/>
  <c r="Z225" i="1"/>
  <c r="Y311" i="1"/>
  <c r="Y296" i="1"/>
  <c r="Z283" i="1"/>
  <c r="Y257" i="1"/>
  <c r="Z256" i="1"/>
  <c r="Y255" i="1"/>
  <c r="Z252" i="1"/>
  <c r="Z246" i="1"/>
  <c r="Y243" i="1"/>
  <c r="Y239" i="1"/>
  <c r="Z234" i="1"/>
  <c r="Z311" i="1"/>
  <c r="Z288" i="1"/>
  <c r="Z278" i="1"/>
  <c r="Y294" i="1"/>
  <c r="Z284" i="1"/>
  <c r="Y278" i="1"/>
  <c r="Z251" i="1"/>
  <c r="Y249" i="1"/>
  <c r="Z245" i="1"/>
  <c r="Z240" i="1"/>
  <c r="Y236" i="1"/>
  <c r="Z231" i="1"/>
  <c r="Y222" i="1"/>
  <c r="Z219" i="1"/>
  <c r="Y215" i="1"/>
  <c r="Z210" i="1"/>
  <c r="Y207" i="1"/>
  <c r="Z202" i="1"/>
  <c r="Z199" i="1"/>
  <c r="Y196" i="1"/>
  <c r="Z275" i="1"/>
  <c r="Y263" i="1"/>
  <c r="Y245" i="1"/>
  <c r="Z243" i="1"/>
  <c r="Y240" i="1"/>
  <c r="Z232" i="1"/>
  <c r="Y231" i="1"/>
  <c r="Z228" i="1"/>
  <c r="Z213" i="1"/>
  <c r="Y210" i="1"/>
  <c r="Z205" i="1"/>
  <c r="Y202" i="1"/>
  <c r="Y199" i="1"/>
  <c r="Z194" i="1"/>
  <c r="Y191" i="1"/>
  <c r="Z186" i="1"/>
  <c r="Y183" i="1"/>
  <c r="Y282" i="1"/>
  <c r="Y313" i="1"/>
  <c r="Z293" i="1"/>
  <c r="Y283" i="1"/>
  <c r="Z258" i="1"/>
  <c r="Z255" i="1"/>
  <c r="Y252" i="1"/>
  <c r="Z242" i="1"/>
  <c r="Y234" i="1"/>
  <c r="Y224" i="1"/>
  <c r="Z223" i="1"/>
  <c r="Z220" i="1"/>
  <c r="Z214" i="1"/>
  <c r="Y211" i="1"/>
  <c r="Z206" i="1"/>
  <c r="Y203" i="1"/>
  <c r="Y200" i="1"/>
  <c r="Z195" i="1"/>
  <c r="Y192" i="1"/>
  <c r="Z187" i="1"/>
  <c r="Y184" i="1"/>
  <c r="Z266" i="1"/>
  <c r="Z217" i="1"/>
  <c r="Z209" i="1"/>
  <c r="Z201" i="1"/>
  <c r="Z197" i="1"/>
  <c r="Y186" i="1"/>
  <c r="Y185" i="1"/>
  <c r="Z184" i="1"/>
  <c r="Z182" i="1"/>
  <c r="Z181" i="1"/>
  <c r="Z180" i="1"/>
  <c r="Y266" i="1"/>
  <c r="Y242" i="1"/>
  <c r="Z237" i="1"/>
  <c r="Z227" i="1"/>
  <c r="Z224" i="1"/>
  <c r="Y217" i="1"/>
  <c r="Y213" i="1"/>
  <c r="Y209" i="1"/>
  <c r="Y205" i="1"/>
  <c r="Y201" i="1"/>
  <c r="Y197" i="1"/>
  <c r="Z193" i="1"/>
  <c r="Z183" i="1"/>
  <c r="Y182" i="1"/>
  <c r="Y181" i="1"/>
  <c r="Y180" i="1"/>
  <c r="Z178" i="1"/>
  <c r="Y175" i="1"/>
  <c r="Z170" i="1"/>
  <c r="Y167" i="1"/>
  <c r="Y301" i="1"/>
  <c r="Y293" i="1"/>
  <c r="Y261" i="1"/>
  <c r="Z250" i="1"/>
  <c r="Y226" i="1"/>
  <c r="Y223" i="1"/>
  <c r="Z218" i="1"/>
  <c r="Z215" i="1"/>
  <c r="Z211" i="1"/>
  <c r="Z207" i="1"/>
  <c r="Z203" i="1"/>
  <c r="Y198" i="1"/>
  <c r="Y194" i="1"/>
  <c r="Z179" i="1"/>
  <c r="Y176" i="1"/>
  <c r="Z171" i="1"/>
  <c r="Y168" i="1"/>
  <c r="Z163" i="1"/>
  <c r="Y160" i="1"/>
  <c r="Z155" i="1"/>
  <c r="Y256" i="1"/>
  <c r="Z253" i="1"/>
  <c r="Z236" i="1"/>
  <c r="Y208" i="1"/>
  <c r="Y204" i="1"/>
  <c r="Y195" i="1"/>
  <c r="Z177" i="1"/>
  <c r="Z167" i="1"/>
  <c r="Y166" i="1"/>
  <c r="Y165" i="1"/>
  <c r="Y164" i="1"/>
  <c r="Y163" i="1"/>
  <c r="Z156" i="1"/>
  <c r="Z153" i="1"/>
  <c r="Y150" i="1"/>
  <c r="Z145" i="1"/>
  <c r="Z142" i="1"/>
  <c r="Y139" i="1"/>
  <c r="Z134" i="1"/>
  <c r="Y131" i="1"/>
  <c r="Z126" i="1"/>
  <c r="Y123" i="1"/>
  <c r="Y253" i="1"/>
  <c r="Z235" i="1"/>
  <c r="Z216" i="1"/>
  <c r="Z212" i="1"/>
  <c r="Z189" i="1"/>
  <c r="Y177" i="1"/>
  <c r="Z162" i="1"/>
  <c r="Z159" i="1"/>
  <c r="Y156" i="1"/>
  <c r="Y153" i="1"/>
  <c r="Z148" i="1"/>
  <c r="Y145" i="1"/>
  <c r="Y142" i="1"/>
  <c r="Z137" i="1"/>
  <c r="Y134" i="1"/>
  <c r="Z129" i="1"/>
  <c r="Y126" i="1"/>
  <c r="Z121" i="1"/>
  <c r="Z118" i="1"/>
  <c r="Y115" i="1"/>
  <c r="Z110" i="1"/>
  <c r="Y107" i="1"/>
  <c r="Z102" i="1"/>
  <c r="Y99" i="1"/>
  <c r="Z96" i="1"/>
  <c r="Y93" i="1"/>
  <c r="Z88" i="1"/>
  <c r="Y85" i="1"/>
  <c r="Z80" i="1"/>
  <c r="Y77" i="1"/>
  <c r="Z72" i="1"/>
  <c r="Y258" i="1"/>
  <c r="Y229" i="1"/>
  <c r="Y228" i="1"/>
  <c r="Z226" i="1"/>
  <c r="Y225" i="1"/>
  <c r="Y220" i="1"/>
  <c r="Y214" i="1"/>
  <c r="Y179" i="1"/>
  <c r="Y161" i="1"/>
  <c r="Y158" i="1"/>
  <c r="Y155" i="1"/>
  <c r="Z149" i="1"/>
  <c r="Y146" i="1"/>
  <c r="Y143" i="1"/>
  <c r="Z138" i="1"/>
  <c r="Y135" i="1"/>
  <c r="Z130" i="1"/>
  <c r="Y127" i="1"/>
  <c r="Z122" i="1"/>
  <c r="Y119" i="1"/>
  <c r="Y116" i="1"/>
  <c r="Z111" i="1"/>
  <c r="Y108" i="1"/>
  <c r="Z103" i="1"/>
  <c r="Y100" i="1"/>
  <c r="Z97" i="1"/>
  <c r="Y94" i="1"/>
  <c r="Z89" i="1"/>
  <c r="Y86" i="1"/>
  <c r="Z81" i="1"/>
  <c r="Y78" i="1"/>
  <c r="Z73" i="1"/>
  <c r="Y233" i="1"/>
  <c r="Y206" i="1"/>
  <c r="Y190" i="1"/>
  <c r="Y189" i="1"/>
  <c r="Y171" i="1"/>
  <c r="Z169" i="1"/>
  <c r="Y159" i="1"/>
  <c r="Z154" i="1"/>
  <c r="Y151" i="1"/>
  <c r="Y212" i="1"/>
  <c r="Z204" i="1"/>
  <c r="Z188" i="1"/>
  <c r="Z176" i="1"/>
  <c r="Z173" i="1"/>
  <c r="Y169" i="1"/>
  <c r="Z157" i="1"/>
  <c r="Y154" i="1"/>
  <c r="Y147" i="1"/>
  <c r="Z143" i="1"/>
  <c r="Z139" i="1"/>
  <c r="Z135" i="1"/>
  <c r="Z131" i="1"/>
  <c r="Z127" i="1"/>
  <c r="Z123" i="1"/>
  <c r="Z117" i="1"/>
  <c r="Y97" i="1"/>
  <c r="Z95" i="1"/>
  <c r="Z239" i="1"/>
  <c r="Z198" i="1"/>
  <c r="Z196" i="1"/>
  <c r="Y188" i="1"/>
  <c r="Y187" i="1"/>
  <c r="Y173" i="1"/>
  <c r="Y250" i="1"/>
  <c r="Y237" i="1"/>
  <c r="Y232" i="1"/>
  <c r="Z221" i="1"/>
  <c r="Y216" i="1"/>
  <c r="Z164" i="1"/>
  <c r="Y162" i="1"/>
  <c r="Y152" i="1"/>
  <c r="Z208" i="1"/>
  <c r="Z200" i="1"/>
  <c r="Y193" i="1"/>
  <c r="Y178" i="1"/>
  <c r="Y172" i="1"/>
  <c r="Y170" i="1"/>
  <c r="Z168" i="1"/>
  <c r="Z160" i="1"/>
  <c r="Z141" i="1"/>
  <c r="Z133" i="1"/>
  <c r="Z125" i="1"/>
  <c r="Z107" i="1"/>
  <c r="Y106" i="1"/>
  <c r="Y105" i="1"/>
  <c r="Y104" i="1"/>
  <c r="Y103" i="1"/>
  <c r="Z101" i="1"/>
  <c r="Y241" i="1"/>
  <c r="Z175" i="1"/>
  <c r="Z161" i="1"/>
  <c r="Z144" i="1"/>
  <c r="Y137" i="1"/>
  <c r="Y124" i="1"/>
  <c r="Z120" i="1"/>
  <c r="Y112" i="1"/>
  <c r="Y109" i="1"/>
  <c r="Z93" i="1"/>
  <c r="Y89" i="1"/>
  <c r="Y88" i="1"/>
  <c r="Y87" i="1"/>
  <c r="Z86" i="1"/>
  <c r="Z84" i="1"/>
  <c r="Z83" i="1"/>
  <c r="Z82" i="1"/>
  <c r="Z69" i="1"/>
  <c r="Y66" i="1"/>
  <c r="Z61" i="1"/>
  <c r="Y58" i="1"/>
  <c r="Z261" i="1"/>
  <c r="Z248" i="1"/>
  <c r="Y218" i="1"/>
  <c r="Z192" i="1"/>
  <c r="Z172" i="1"/>
  <c r="Y144" i="1"/>
  <c r="Y129" i="1"/>
  <c r="Y120" i="1"/>
  <c r="Z115" i="1"/>
  <c r="Z105" i="1"/>
  <c r="Z94" i="1"/>
  <c r="Z90" i="1"/>
  <c r="Z85" i="1"/>
  <c r="Y84" i="1"/>
  <c r="Y83" i="1"/>
  <c r="Y82" i="1"/>
  <c r="Y81" i="1"/>
  <c r="Z79" i="1"/>
  <c r="Y69" i="1"/>
  <c r="Z64" i="1"/>
  <c r="Y61" i="1"/>
  <c r="Z56" i="1"/>
  <c r="Y53" i="1"/>
  <c r="Z146" i="1"/>
  <c r="Z136" i="1"/>
  <c r="Z113" i="1"/>
  <c r="Z98" i="1"/>
  <c r="Y90" i="1"/>
  <c r="Y80" i="1"/>
  <c r="Y79" i="1"/>
  <c r="Z78" i="1"/>
  <c r="Z76" i="1"/>
  <c r="Z75" i="1"/>
  <c r="Z74" i="1"/>
  <c r="Z67" i="1"/>
  <c r="Y64" i="1"/>
  <c r="Z59" i="1"/>
  <c r="Y56" i="1"/>
  <c r="Z51" i="1"/>
  <c r="Y48" i="1"/>
  <c r="Z43" i="1"/>
  <c r="Y40" i="1"/>
  <c r="Z35" i="1"/>
  <c r="Y32" i="1"/>
  <c r="Z27" i="1"/>
  <c r="Y24" i="1"/>
  <c r="Z19" i="1"/>
  <c r="Y16" i="1"/>
  <c r="Z11" i="1"/>
  <c r="Z166" i="1"/>
  <c r="Y118" i="1"/>
  <c r="Y111" i="1"/>
  <c r="Y110" i="1"/>
  <c r="Y96" i="1"/>
  <c r="Y95" i="1"/>
  <c r="Y92" i="1"/>
  <c r="Y91" i="1"/>
  <c r="Z66" i="1"/>
  <c r="Y54" i="1"/>
  <c r="Y174" i="1"/>
  <c r="Y136" i="1"/>
  <c r="Y133" i="1"/>
  <c r="Z132" i="1"/>
  <c r="Y130" i="1"/>
  <c r="Z124" i="1"/>
  <c r="Z114" i="1"/>
  <c r="Y113" i="1"/>
  <c r="Z108" i="1"/>
  <c r="Y157" i="1"/>
  <c r="Y149" i="1"/>
  <c r="Y128" i="1"/>
  <c r="Y121" i="1"/>
  <c r="Z119" i="1"/>
  <c r="Z109" i="1"/>
  <c r="Z100" i="1"/>
  <c r="Z99" i="1"/>
  <c r="Z92" i="1"/>
  <c r="Z77" i="1"/>
  <c r="Y76" i="1"/>
  <c r="Z70" i="1"/>
  <c r="Y65" i="1"/>
  <c r="Z58" i="1"/>
  <c r="Y55" i="1"/>
  <c r="Z52" i="1"/>
  <c r="Z46" i="1"/>
  <c r="Z37" i="1"/>
  <c r="Z34" i="1"/>
  <c r="Z31" i="1"/>
  <c r="Y28" i="1"/>
  <c r="Y25" i="1"/>
  <c r="Y22" i="1"/>
  <c r="Y19" i="1"/>
  <c r="Z16" i="1"/>
  <c r="Y13" i="1"/>
  <c r="Y10" i="1"/>
  <c r="Y221" i="1"/>
  <c r="Z112" i="1"/>
  <c r="Y70" i="1"/>
  <c r="Z68" i="1"/>
  <c r="Z63" i="1"/>
  <c r="Z53" i="1"/>
  <c r="Y52" i="1"/>
  <c r="Z49" i="1"/>
  <c r="Y46" i="1"/>
  <c r="Y43" i="1"/>
  <c r="Y31" i="1"/>
  <c r="Z40" i="1"/>
  <c r="Y37" i="1"/>
  <c r="Y34" i="1"/>
  <c r="Z151" i="1"/>
  <c r="Y141" i="1"/>
  <c r="Y140" i="1"/>
  <c r="Z87" i="1"/>
  <c r="Y73" i="1"/>
  <c r="Z62" i="1"/>
  <c r="Z57" i="1"/>
  <c r="Z48" i="1"/>
  <c r="Y45" i="1"/>
  <c r="Y42" i="1"/>
  <c r="Y39" i="1"/>
  <c r="Z20" i="1"/>
  <c r="Z17" i="1"/>
  <c r="Z14" i="1"/>
  <c r="Y33" i="1"/>
  <c r="Y63" i="1"/>
  <c r="AB4" i="1"/>
  <c r="Y50" i="1"/>
  <c r="Z185" i="1"/>
  <c r="Z44" i="1"/>
  <c r="Z50" i="1"/>
  <c r="Z65" i="1"/>
  <c r="Z91" i="1"/>
  <c r="Z104" i="1"/>
  <c r="Y122" i="1"/>
  <c r="Y125" i="1"/>
  <c r="Z264" i="1"/>
  <c r="Y30" i="1"/>
  <c r="Y41" i="1"/>
  <c r="Z140" i="1"/>
  <c r="Y14" i="1"/>
  <c r="Z36" i="1"/>
  <c r="Y60" i="1"/>
  <c r="T4" i="1"/>
  <c r="Z13" i="1"/>
  <c r="Y18" i="1"/>
  <c r="Z24" i="1"/>
  <c r="Y29" i="1"/>
  <c r="Z38" i="1"/>
  <c r="Z42" i="1"/>
  <c r="Y49" i="1"/>
  <c r="Y59" i="1"/>
  <c r="Z60" i="1"/>
  <c r="Y114" i="1"/>
  <c r="Y117" i="1"/>
  <c r="Z158" i="1"/>
  <c r="Z3" i="1" l="1"/>
  <c r="P311" i="1"/>
  <c r="O308" i="1"/>
  <c r="P305" i="1"/>
  <c r="P302" i="1"/>
  <c r="O299" i="1"/>
  <c r="P294" i="1"/>
  <c r="O291" i="1"/>
  <c r="O287" i="1"/>
  <c r="P314" i="1"/>
  <c r="O311" i="1"/>
  <c r="O305" i="1"/>
  <c r="O302" i="1"/>
  <c r="P297" i="1"/>
  <c r="O294" i="1"/>
  <c r="P288" i="1"/>
  <c r="O314" i="1"/>
  <c r="P309" i="1"/>
  <c r="P306" i="1"/>
  <c r="P300" i="1"/>
  <c r="O297" i="1"/>
  <c r="P292" i="1"/>
  <c r="O288" i="1"/>
  <c r="O284" i="1"/>
  <c r="P281" i="1"/>
  <c r="P313" i="1"/>
  <c r="O309" i="1"/>
  <c r="P304" i="1"/>
  <c r="O300" i="1"/>
  <c r="P296" i="1"/>
  <c r="O292" i="1"/>
  <c r="O283" i="1"/>
  <c r="O313" i="1"/>
  <c r="P310" i="1"/>
  <c r="O304" i="1"/>
  <c r="P301" i="1"/>
  <c r="O296" i="1"/>
  <c r="P293" i="1"/>
  <c r="O280" i="1"/>
  <c r="O278" i="1"/>
  <c r="P273" i="1"/>
  <c r="O270" i="1"/>
  <c r="P299" i="1"/>
  <c r="P286" i="1"/>
  <c r="P277" i="1"/>
  <c r="P274" i="1"/>
  <c r="P271" i="1"/>
  <c r="P268" i="1"/>
  <c r="O266" i="1"/>
  <c r="P261" i="1"/>
  <c r="P308" i="1"/>
  <c r="P291" i="1"/>
  <c r="O286" i="1"/>
  <c r="O277" i="1"/>
  <c r="O274" i="1"/>
  <c r="O271" i="1"/>
  <c r="O268" i="1"/>
  <c r="P264" i="1"/>
  <c r="O261" i="1"/>
  <c r="P256" i="1"/>
  <c r="O253" i="1"/>
  <c r="O301" i="1"/>
  <c r="O281" i="1"/>
  <c r="O264" i="1"/>
  <c r="P259" i="1"/>
  <c r="O256" i="1"/>
  <c r="P251" i="1"/>
  <c r="O248" i="1"/>
  <c r="P243" i="1"/>
  <c r="O310" i="1"/>
  <c r="O306" i="1"/>
  <c r="O293" i="1"/>
  <c r="P282" i="1"/>
  <c r="P280" i="1"/>
  <c r="P279" i="1"/>
  <c r="P276" i="1"/>
  <c r="O273" i="1"/>
  <c r="P270" i="1"/>
  <c r="P267" i="1"/>
  <c r="P262" i="1"/>
  <c r="O259" i="1"/>
  <c r="P303" i="1"/>
  <c r="P298" i="1"/>
  <c r="P289" i="1"/>
  <c r="P284" i="1"/>
  <c r="P283" i="1"/>
  <c r="O282" i="1"/>
  <c r="O279" i="1"/>
  <c r="O276" i="1"/>
  <c r="O267" i="1"/>
  <c r="P265" i="1"/>
  <c r="O262" i="1"/>
  <c r="O285" i="1"/>
  <c r="O260" i="1"/>
  <c r="O245" i="1"/>
  <c r="P240" i="1"/>
  <c r="O237" i="1"/>
  <c r="P232" i="1"/>
  <c r="O229" i="1"/>
  <c r="P224" i="1"/>
  <c r="O221" i="1"/>
  <c r="P287" i="1"/>
  <c r="O265" i="1"/>
  <c r="P247" i="1"/>
  <c r="P244" i="1"/>
  <c r="O240" i="1"/>
  <c r="P235" i="1"/>
  <c r="O232" i="1"/>
  <c r="P227" i="1"/>
  <c r="P307" i="1"/>
  <c r="P295" i="1"/>
  <c r="O290" i="1"/>
  <c r="O289" i="1"/>
  <c r="O275" i="1"/>
  <c r="O272" i="1"/>
  <c r="P269" i="1"/>
  <c r="O263" i="1"/>
  <c r="O257" i="1"/>
  <c r="O255" i="1"/>
  <c r="P254" i="1"/>
  <c r="P252" i="1"/>
  <c r="P246" i="1"/>
  <c r="O243" i="1"/>
  <c r="O241" i="1"/>
  <c r="P236" i="1"/>
  <c r="O250" i="1"/>
  <c r="P248" i="1"/>
  <c r="P233" i="1"/>
  <c r="P231" i="1"/>
  <c r="P222" i="1"/>
  <c r="P219" i="1"/>
  <c r="O217" i="1"/>
  <c r="P212" i="1"/>
  <c r="O209" i="1"/>
  <c r="P204" i="1"/>
  <c r="O201" i="1"/>
  <c r="O198" i="1"/>
  <c r="P193" i="1"/>
  <c r="P285" i="1"/>
  <c r="P278" i="1"/>
  <c r="P258" i="1"/>
  <c r="P255" i="1"/>
  <c r="O252" i="1"/>
  <c r="O246" i="1"/>
  <c r="P241" i="1"/>
  <c r="P237" i="1"/>
  <c r="O233" i="1"/>
  <c r="O231" i="1"/>
  <c r="P230" i="1"/>
  <c r="P228" i="1"/>
  <c r="O222" i="1"/>
  <c r="O219" i="1"/>
  <c r="P215" i="1"/>
  <c r="O212" i="1"/>
  <c r="P207" i="1"/>
  <c r="O204" i="1"/>
  <c r="P196" i="1"/>
  <c r="O193" i="1"/>
  <c r="P188" i="1"/>
  <c r="O185" i="1"/>
  <c r="P312" i="1"/>
  <c r="O307" i="1"/>
  <c r="O295" i="1"/>
  <c r="P290" i="1"/>
  <c r="O254" i="1"/>
  <c r="O251" i="1"/>
  <c r="P249" i="1"/>
  <c r="O247" i="1"/>
  <c r="P239" i="1"/>
  <c r="O238" i="1"/>
  <c r="O235" i="1"/>
  <c r="O218" i="1"/>
  <c r="P216" i="1"/>
  <c r="O213" i="1"/>
  <c r="P208" i="1"/>
  <c r="O205" i="1"/>
  <c r="P197" i="1"/>
  <c r="O194" i="1"/>
  <c r="P189" i="1"/>
  <c r="O186" i="1"/>
  <c r="P181" i="1"/>
  <c r="P250" i="1"/>
  <c r="P226" i="1"/>
  <c r="O220" i="1"/>
  <c r="P214" i="1"/>
  <c r="P206" i="1"/>
  <c r="O184" i="1"/>
  <c r="P183" i="1"/>
  <c r="P182" i="1"/>
  <c r="O181" i="1"/>
  <c r="P177" i="1"/>
  <c r="P253" i="1"/>
  <c r="O249" i="1"/>
  <c r="P234" i="1"/>
  <c r="O226" i="1"/>
  <c r="P223" i="1"/>
  <c r="O214" i="1"/>
  <c r="P210" i="1"/>
  <c r="O206" i="1"/>
  <c r="P202" i="1"/>
  <c r="O183" i="1"/>
  <c r="O182" i="1"/>
  <c r="P180" i="1"/>
  <c r="O177" i="1"/>
  <c r="P172" i="1"/>
  <c r="O169" i="1"/>
  <c r="P164" i="1"/>
  <c r="O298" i="1"/>
  <c r="P275" i="1"/>
  <c r="P242" i="1"/>
  <c r="O230" i="1"/>
  <c r="O225" i="1"/>
  <c r="P221" i="1"/>
  <c r="O216" i="1"/>
  <c r="O208" i="1"/>
  <c r="P199" i="1"/>
  <c r="O195" i="1"/>
  <c r="O178" i="1"/>
  <c r="P173" i="1"/>
  <c r="O170" i="1"/>
  <c r="P165" i="1"/>
  <c r="O162" i="1"/>
  <c r="P157" i="1"/>
  <c r="O154" i="1"/>
  <c r="O303" i="1"/>
  <c r="P238" i="1"/>
  <c r="P220" i="1"/>
  <c r="O210" i="1"/>
  <c r="P201" i="1"/>
  <c r="O197" i="1"/>
  <c r="O167" i="1"/>
  <c r="O166" i="1"/>
  <c r="O163" i="1"/>
  <c r="O160" i="1"/>
  <c r="O152" i="1"/>
  <c r="P147" i="1"/>
  <c r="O144" i="1"/>
  <c r="O141" i="1"/>
  <c r="P136" i="1"/>
  <c r="O133" i="1"/>
  <c r="P128" i="1"/>
  <c r="O125" i="1"/>
  <c r="P266" i="1"/>
  <c r="O239" i="1"/>
  <c r="P205" i="1"/>
  <c r="P192" i="1"/>
  <c r="P178" i="1"/>
  <c r="P156" i="1"/>
  <c r="P150" i="1"/>
  <c r="O147" i="1"/>
  <c r="P139" i="1"/>
  <c r="O136" i="1"/>
  <c r="P131" i="1"/>
  <c r="O128" i="1"/>
  <c r="P123" i="1"/>
  <c r="O120" i="1"/>
  <c r="O117" i="1"/>
  <c r="P112" i="1"/>
  <c r="O109" i="1"/>
  <c r="P104" i="1"/>
  <c r="O101" i="1"/>
  <c r="O98" i="1"/>
  <c r="O95" i="1"/>
  <c r="P90" i="1"/>
  <c r="O87" i="1"/>
  <c r="P82" i="1"/>
  <c r="O79" i="1"/>
  <c r="P74" i="1"/>
  <c r="O71" i="1"/>
  <c r="P272" i="1"/>
  <c r="P257" i="1"/>
  <c r="O244" i="1"/>
  <c r="P217" i="1"/>
  <c r="O207" i="1"/>
  <c r="O203" i="1"/>
  <c r="P195" i="1"/>
  <c r="O180" i="1"/>
  <c r="P176" i="1"/>
  <c r="P161" i="1"/>
  <c r="P158" i="1"/>
  <c r="P155" i="1"/>
  <c r="P151" i="1"/>
  <c r="O148" i="1"/>
  <c r="P140" i="1"/>
  <c r="O137" i="1"/>
  <c r="P132" i="1"/>
  <c r="O129" i="1"/>
  <c r="P124" i="1"/>
  <c r="O121" i="1"/>
  <c r="O118" i="1"/>
  <c r="P113" i="1"/>
  <c r="O110" i="1"/>
  <c r="P105" i="1"/>
  <c r="O102" i="1"/>
  <c r="O96" i="1"/>
  <c r="P91" i="1"/>
  <c r="O88" i="1"/>
  <c r="P83" i="1"/>
  <c r="O80" i="1"/>
  <c r="P75" i="1"/>
  <c r="O72" i="1"/>
  <c r="P263" i="1"/>
  <c r="O236" i="1"/>
  <c r="O228" i="1"/>
  <c r="P218" i="1"/>
  <c r="P211" i="1"/>
  <c r="P209" i="1"/>
  <c r="O202" i="1"/>
  <c r="P194" i="1"/>
  <c r="O192" i="1"/>
  <c r="P185" i="1"/>
  <c r="P175" i="1"/>
  <c r="O164" i="1"/>
  <c r="P162" i="1"/>
  <c r="O242" i="1"/>
  <c r="P229" i="1"/>
  <c r="O224" i="1"/>
  <c r="O211" i="1"/>
  <c r="P203" i="1"/>
  <c r="P191" i="1"/>
  <c r="P184" i="1"/>
  <c r="O175" i="1"/>
  <c r="O172" i="1"/>
  <c r="P170" i="1"/>
  <c r="P168" i="1"/>
  <c r="P166" i="1"/>
  <c r="O155" i="1"/>
  <c r="P152" i="1"/>
  <c r="P148" i="1"/>
  <c r="P144" i="1"/>
  <c r="O140" i="1"/>
  <c r="O132" i="1"/>
  <c r="O124" i="1"/>
  <c r="P118" i="1"/>
  <c r="P117" i="1"/>
  <c r="P116" i="1"/>
  <c r="O97" i="1"/>
  <c r="P96" i="1"/>
  <c r="P95" i="1"/>
  <c r="P94" i="1"/>
  <c r="O191" i="1"/>
  <c r="P190" i="1"/>
  <c r="O168" i="1"/>
  <c r="P260" i="1"/>
  <c r="P245" i="1"/>
  <c r="O234" i="1"/>
  <c r="O196" i="1"/>
  <c r="O190" i="1"/>
  <c r="O189" i="1"/>
  <c r="P174" i="1"/>
  <c r="P153" i="1"/>
  <c r="O149" i="1"/>
  <c r="P198" i="1"/>
  <c r="P187" i="1"/>
  <c r="O176" i="1"/>
  <c r="O171" i="1"/>
  <c r="P169" i="1"/>
  <c r="O161" i="1"/>
  <c r="P159" i="1"/>
  <c r="O146" i="1"/>
  <c r="P138" i="1"/>
  <c r="P130" i="1"/>
  <c r="O107" i="1"/>
  <c r="O106" i="1"/>
  <c r="O103" i="1"/>
  <c r="P102" i="1"/>
  <c r="P101" i="1"/>
  <c r="P100" i="1"/>
  <c r="P186" i="1"/>
  <c r="O174" i="1"/>
  <c r="O158" i="1"/>
  <c r="O157" i="1"/>
  <c r="O156" i="1"/>
  <c r="O153" i="1"/>
  <c r="O150" i="1"/>
  <c r="P149" i="1"/>
  <c r="P143" i="1"/>
  <c r="P141" i="1"/>
  <c r="O113" i="1"/>
  <c r="P110" i="1"/>
  <c r="P103" i="1"/>
  <c r="P98" i="1"/>
  <c r="O94" i="1"/>
  <c r="O90" i="1"/>
  <c r="O86" i="1"/>
  <c r="P85" i="1"/>
  <c r="P84" i="1"/>
  <c r="O83" i="1"/>
  <c r="O82" i="1"/>
  <c r="P81" i="1"/>
  <c r="O68" i="1"/>
  <c r="P63" i="1"/>
  <c r="O60" i="1"/>
  <c r="P55" i="1"/>
  <c r="O269" i="1"/>
  <c r="P171" i="1"/>
  <c r="O159" i="1"/>
  <c r="O143" i="1"/>
  <c r="O138" i="1"/>
  <c r="P135" i="1"/>
  <c r="P133" i="1"/>
  <c r="P121" i="1"/>
  <c r="O116" i="1"/>
  <c r="O85" i="1"/>
  <c r="O84" i="1"/>
  <c r="O81" i="1"/>
  <c r="P80" i="1"/>
  <c r="P79" i="1"/>
  <c r="P78" i="1"/>
  <c r="P66" i="1"/>
  <c r="O63" i="1"/>
  <c r="P58" i="1"/>
  <c r="O55" i="1"/>
  <c r="P50" i="1"/>
  <c r="O187" i="1"/>
  <c r="P179" i="1"/>
  <c r="P167" i="1"/>
  <c r="P160" i="1"/>
  <c r="P145" i="1"/>
  <c r="O135" i="1"/>
  <c r="O130" i="1"/>
  <c r="P127" i="1"/>
  <c r="P125" i="1"/>
  <c r="P111" i="1"/>
  <c r="P108" i="1"/>
  <c r="P99" i="1"/>
  <c r="O91" i="1"/>
  <c r="O78" i="1"/>
  <c r="P77" i="1"/>
  <c r="P76" i="1"/>
  <c r="O75" i="1"/>
  <c r="O74" i="1"/>
  <c r="P73" i="1"/>
  <c r="P69" i="1"/>
  <c r="O66" i="1"/>
  <c r="P61" i="1"/>
  <c r="O58" i="1"/>
  <c r="P53" i="1"/>
  <c r="O50" i="1"/>
  <c r="P45" i="1"/>
  <c r="O42" i="1"/>
  <c r="P37" i="1"/>
  <c r="O34" i="1"/>
  <c r="P29" i="1"/>
  <c r="O26" i="1"/>
  <c r="P21" i="1"/>
  <c r="O18" i="1"/>
  <c r="P13" i="1"/>
  <c r="O10" i="1"/>
  <c r="O258" i="1"/>
  <c r="P163" i="1"/>
  <c r="O139" i="1"/>
  <c r="O134" i="1"/>
  <c r="O126" i="1"/>
  <c r="O122" i="1"/>
  <c r="O114" i="1"/>
  <c r="P107" i="1"/>
  <c r="P106" i="1"/>
  <c r="P89" i="1"/>
  <c r="P86" i="1"/>
  <c r="P71" i="1"/>
  <c r="O67" i="1"/>
  <c r="P59" i="1"/>
  <c r="O200" i="1"/>
  <c r="O151" i="1"/>
  <c r="O119" i="1"/>
  <c r="O92" i="1"/>
  <c r="P142" i="1"/>
  <c r="P87" i="1"/>
  <c r="O73" i="1"/>
  <c r="O61" i="1"/>
  <c r="P56" i="1"/>
  <c r="P54" i="1"/>
  <c r="O53" i="1"/>
  <c r="P52" i="1"/>
  <c r="O47" i="1"/>
  <c r="P28" i="1"/>
  <c r="P25" i="1"/>
  <c r="P22" i="1"/>
  <c r="P19" i="1"/>
  <c r="P16" i="1"/>
  <c r="O13" i="1"/>
  <c r="P10" i="1"/>
  <c r="O223" i="1"/>
  <c r="P213" i="1"/>
  <c r="O142" i="1"/>
  <c r="P126" i="1"/>
  <c r="P72" i="1"/>
  <c r="O59" i="1"/>
  <c r="O56" i="1"/>
  <c r="O54" i="1"/>
  <c r="O52" i="1"/>
  <c r="P51" i="1"/>
  <c r="P49" i="1"/>
  <c r="P31" i="1"/>
  <c r="O28" i="1"/>
  <c r="O25" i="1"/>
  <c r="O22" i="1"/>
  <c r="P46" i="1"/>
  <c r="P43" i="1"/>
  <c r="P40" i="1"/>
  <c r="O37" i="1"/>
  <c r="P34" i="1"/>
  <c r="P225" i="1"/>
  <c r="P154" i="1"/>
  <c r="P146" i="1"/>
  <c r="O145" i="1"/>
  <c r="P129" i="1"/>
  <c r="O123" i="1"/>
  <c r="P122" i="1"/>
  <c r="O104" i="1"/>
  <c r="O77" i="1"/>
  <c r="P67" i="1"/>
  <c r="P60" i="1"/>
  <c r="P48" i="1"/>
  <c r="O45" i="1"/>
  <c r="P42" i="1"/>
  <c r="P39" i="1"/>
  <c r="O36" i="1"/>
  <c r="O33" i="1"/>
  <c r="O30" i="1"/>
  <c r="O27" i="1"/>
  <c r="O24" i="1"/>
  <c r="O15" i="1"/>
  <c r="O227" i="1"/>
  <c r="O179" i="1"/>
  <c r="P120" i="1"/>
  <c r="O99" i="1"/>
  <c r="P65" i="1"/>
  <c r="P32" i="1"/>
  <c r="O20" i="1"/>
  <c r="O14" i="1"/>
  <c r="P9" i="1"/>
  <c r="P114" i="1"/>
  <c r="O111" i="1"/>
  <c r="O32" i="1"/>
  <c r="P30" i="1"/>
  <c r="P23" i="1"/>
  <c r="O9" i="1"/>
  <c r="O46" i="1"/>
  <c r="P44" i="1"/>
  <c r="P26" i="1"/>
  <c r="O93" i="1"/>
  <c r="O35" i="1"/>
  <c r="P12" i="1"/>
  <c r="P97" i="1"/>
  <c r="P57" i="1"/>
  <c r="O12" i="1"/>
  <c r="O57" i="1"/>
  <c r="P38" i="1"/>
  <c r="P68" i="1"/>
  <c r="O199" i="1"/>
  <c r="P134" i="1"/>
  <c r="O131" i="1"/>
  <c r="O65" i="1"/>
  <c r="O43" i="1"/>
  <c r="P41" i="1"/>
  <c r="O41" i="1"/>
  <c r="O23" i="1"/>
  <c r="P15" i="1"/>
  <c r="O76" i="1"/>
  <c r="P17" i="1"/>
  <c r="O115" i="1"/>
  <c r="P33" i="1"/>
  <c r="P200" i="1"/>
  <c r="O127" i="1"/>
  <c r="O70" i="1"/>
  <c r="O312" i="1"/>
  <c r="O69" i="1"/>
  <c r="O51" i="1"/>
  <c r="O38" i="1"/>
  <c r="P36" i="1"/>
  <c r="O19" i="1"/>
  <c r="P14" i="1"/>
  <c r="O108" i="1"/>
  <c r="O105" i="1"/>
  <c r="O100" i="1"/>
  <c r="P92" i="1"/>
  <c r="O89" i="1"/>
  <c r="P88" i="1"/>
  <c r="P64" i="1"/>
  <c r="P62" i="1"/>
  <c r="O48" i="1"/>
  <c r="O188" i="1"/>
  <c r="P137" i="1"/>
  <c r="P115" i="1"/>
  <c r="O112" i="1"/>
  <c r="P93" i="1"/>
  <c r="O64" i="1"/>
  <c r="O62" i="1"/>
  <c r="O39" i="1"/>
  <c r="P35" i="1"/>
  <c r="O21" i="1"/>
  <c r="O16" i="1"/>
  <c r="P11" i="1"/>
  <c r="P70" i="1"/>
  <c r="O11" i="1"/>
  <c r="O173" i="1"/>
  <c r="P119" i="1"/>
  <c r="O40" i="1"/>
  <c r="P18" i="1"/>
  <c r="P20" i="1"/>
  <c r="O215" i="1"/>
  <c r="O165" i="1"/>
  <c r="P109" i="1"/>
  <c r="O44" i="1"/>
  <c r="O17" i="1"/>
  <c r="O49" i="1"/>
  <c r="O31" i="1"/>
  <c r="O29" i="1"/>
  <c r="P24" i="1"/>
  <c r="P47" i="1"/>
  <c r="P27" i="1"/>
  <c r="V313" i="1"/>
  <c r="U310" i="1"/>
  <c r="V304" i="1"/>
  <c r="U301" i="1"/>
  <c r="V296" i="1"/>
  <c r="U293" i="1"/>
  <c r="U290" i="1"/>
  <c r="U286" i="1"/>
  <c r="U313" i="1"/>
  <c r="V308" i="1"/>
  <c r="U304" i="1"/>
  <c r="V299" i="1"/>
  <c r="U296" i="1"/>
  <c r="V291" i="1"/>
  <c r="V287" i="1"/>
  <c r="V311" i="1"/>
  <c r="U308" i="1"/>
  <c r="V305" i="1"/>
  <c r="V302" i="1"/>
  <c r="U299" i="1"/>
  <c r="V294" i="1"/>
  <c r="U291" i="1"/>
  <c r="U287" i="1"/>
  <c r="U283" i="1"/>
  <c r="U280" i="1"/>
  <c r="U311" i="1"/>
  <c r="V306" i="1"/>
  <c r="U302" i="1"/>
  <c r="U294" i="1"/>
  <c r="V288" i="1"/>
  <c r="U285" i="1"/>
  <c r="V284" i="1"/>
  <c r="V281" i="1"/>
  <c r="V307" i="1"/>
  <c r="U306" i="1"/>
  <c r="V298" i="1"/>
  <c r="U288" i="1"/>
  <c r="U284" i="1"/>
  <c r="U281" i="1"/>
  <c r="V275" i="1"/>
  <c r="U272" i="1"/>
  <c r="V267" i="1"/>
  <c r="V301" i="1"/>
  <c r="V282" i="1"/>
  <c r="U279" i="1"/>
  <c r="V278" i="1"/>
  <c r="V272" i="1"/>
  <c r="V269" i="1"/>
  <c r="V263" i="1"/>
  <c r="U260" i="1"/>
  <c r="V310" i="1"/>
  <c r="V303" i="1"/>
  <c r="V293" i="1"/>
  <c r="V289" i="1"/>
  <c r="U282" i="1"/>
  <c r="U278" i="1"/>
  <c r="U275" i="1"/>
  <c r="U269" i="1"/>
  <c r="V266" i="1"/>
  <c r="U263" i="1"/>
  <c r="V258" i="1"/>
  <c r="U255" i="1"/>
  <c r="V250" i="1"/>
  <c r="V312" i="1"/>
  <c r="U303" i="1"/>
  <c r="V300" i="1"/>
  <c r="U298" i="1"/>
  <c r="V295" i="1"/>
  <c r="U289" i="1"/>
  <c r="U266" i="1"/>
  <c r="V261" i="1"/>
  <c r="U258" i="1"/>
  <c r="V253" i="1"/>
  <c r="U250" i="1"/>
  <c r="V245" i="1"/>
  <c r="U242" i="1"/>
  <c r="U312" i="1"/>
  <c r="V309" i="1"/>
  <c r="U307" i="1"/>
  <c r="U300" i="1"/>
  <c r="U295" i="1"/>
  <c r="V292" i="1"/>
  <c r="V290" i="1"/>
  <c r="V285" i="1"/>
  <c r="V277" i="1"/>
  <c r="V274" i="1"/>
  <c r="V271" i="1"/>
  <c r="V268" i="1"/>
  <c r="V264" i="1"/>
  <c r="U261" i="1"/>
  <c r="U309" i="1"/>
  <c r="U305" i="1"/>
  <c r="U292" i="1"/>
  <c r="U277" i="1"/>
  <c r="U274" i="1"/>
  <c r="U271" i="1"/>
  <c r="U268" i="1"/>
  <c r="U264" i="1"/>
  <c r="V314" i="1"/>
  <c r="V286" i="1"/>
  <c r="U265" i="1"/>
  <c r="U259" i="1"/>
  <c r="U257" i="1"/>
  <c r="V254" i="1"/>
  <c r="U253" i="1"/>
  <c r="V252" i="1"/>
  <c r="V251" i="1"/>
  <c r="U246" i="1"/>
  <c r="U239" i="1"/>
  <c r="V234" i="1"/>
  <c r="U231" i="1"/>
  <c r="V226" i="1"/>
  <c r="U223" i="1"/>
  <c r="V218" i="1"/>
  <c r="U314" i="1"/>
  <c r="U254" i="1"/>
  <c r="U252" i="1"/>
  <c r="U251" i="1"/>
  <c r="V248" i="1"/>
  <c r="V242" i="1"/>
  <c r="V237" i="1"/>
  <c r="U234" i="1"/>
  <c r="V229" i="1"/>
  <c r="U226" i="1"/>
  <c r="U270" i="1"/>
  <c r="U262" i="1"/>
  <c r="V247" i="1"/>
  <c r="V244" i="1"/>
  <c r="V238" i="1"/>
  <c r="U235" i="1"/>
  <c r="V262" i="1"/>
  <c r="U238" i="1"/>
  <c r="V235" i="1"/>
  <c r="V223" i="1"/>
  <c r="V220" i="1"/>
  <c r="V214" i="1"/>
  <c r="U211" i="1"/>
  <c r="V206" i="1"/>
  <c r="U203" i="1"/>
  <c r="U200" i="1"/>
  <c r="V195" i="1"/>
  <c r="U192" i="1"/>
  <c r="V297" i="1"/>
  <c r="V249" i="1"/>
  <c r="U247" i="1"/>
  <c r="V239" i="1"/>
  <c r="U220" i="1"/>
  <c r="V217" i="1"/>
  <c r="U214" i="1"/>
  <c r="V209" i="1"/>
  <c r="U206" i="1"/>
  <c r="V201" i="1"/>
  <c r="V198" i="1"/>
  <c r="U195" i="1"/>
  <c r="V190" i="1"/>
  <c r="U187" i="1"/>
  <c r="V182" i="1"/>
  <c r="U297" i="1"/>
  <c r="V273" i="1"/>
  <c r="V270" i="1"/>
  <c r="V256" i="1"/>
  <c r="U248" i="1"/>
  <c r="U243" i="1"/>
  <c r="V233" i="1"/>
  <c r="U232" i="1"/>
  <c r="V231" i="1"/>
  <c r="U222" i="1"/>
  <c r="U219" i="1"/>
  <c r="U215" i="1"/>
  <c r="V210" i="1"/>
  <c r="U207" i="1"/>
  <c r="V202" i="1"/>
  <c r="V199" i="1"/>
  <c r="U196" i="1"/>
  <c r="V191" i="1"/>
  <c r="U188" i="1"/>
  <c r="V183" i="1"/>
  <c r="V276" i="1"/>
  <c r="V259" i="1"/>
  <c r="U256" i="1"/>
  <c r="U228" i="1"/>
  <c r="V221" i="1"/>
  <c r="V216" i="1"/>
  <c r="V212" i="1"/>
  <c r="V208" i="1"/>
  <c r="V204" i="1"/>
  <c r="V179" i="1"/>
  <c r="U176" i="1"/>
  <c r="U276" i="1"/>
  <c r="V265" i="1"/>
  <c r="V257" i="1"/>
  <c r="V255" i="1"/>
  <c r="U244" i="1"/>
  <c r="V243" i="1"/>
  <c r="U233" i="1"/>
  <c r="V230" i="1"/>
  <c r="V225" i="1"/>
  <c r="U221" i="1"/>
  <c r="U216" i="1"/>
  <c r="U212" i="1"/>
  <c r="U208" i="1"/>
  <c r="U204" i="1"/>
  <c r="U199" i="1"/>
  <c r="V196" i="1"/>
  <c r="V189" i="1"/>
  <c r="V188" i="1"/>
  <c r="U179" i="1"/>
  <c r="V174" i="1"/>
  <c r="U171" i="1"/>
  <c r="V166" i="1"/>
  <c r="U163" i="1"/>
  <c r="V283" i="1"/>
  <c r="V279" i="1"/>
  <c r="U273" i="1"/>
  <c r="U267" i="1"/>
  <c r="V241" i="1"/>
  <c r="U236" i="1"/>
  <c r="U229" i="1"/>
  <c r="V222" i="1"/>
  <c r="U213" i="1"/>
  <c r="U205" i="1"/>
  <c r="U197" i="1"/>
  <c r="U193" i="1"/>
  <c r="U184" i="1"/>
  <c r="U183" i="1"/>
  <c r="U182" i="1"/>
  <c r="U181" i="1"/>
  <c r="U180" i="1"/>
  <c r="V175" i="1"/>
  <c r="U172" i="1"/>
  <c r="V167" i="1"/>
  <c r="U164" i="1"/>
  <c r="V159" i="1"/>
  <c r="U156" i="1"/>
  <c r="V246" i="1"/>
  <c r="U241" i="1"/>
  <c r="U240" i="1"/>
  <c r="V213" i="1"/>
  <c r="V200" i="1"/>
  <c r="U186" i="1"/>
  <c r="V184" i="1"/>
  <c r="V180" i="1"/>
  <c r="V173" i="1"/>
  <c r="V172" i="1"/>
  <c r="U161" i="1"/>
  <c r="U158" i="1"/>
  <c r="U155" i="1"/>
  <c r="V149" i="1"/>
  <c r="U146" i="1"/>
  <c r="U143" i="1"/>
  <c r="V138" i="1"/>
  <c r="U135" i="1"/>
  <c r="V130" i="1"/>
  <c r="U127" i="1"/>
  <c r="V260" i="1"/>
  <c r="V236" i="1"/>
  <c r="U218" i="1"/>
  <c r="U217" i="1"/>
  <c r="V176" i="1"/>
  <c r="U175" i="1"/>
  <c r="U174" i="1"/>
  <c r="U173" i="1"/>
  <c r="V171" i="1"/>
  <c r="V170" i="1"/>
  <c r="V169" i="1"/>
  <c r="V157" i="1"/>
  <c r="V154" i="1"/>
  <c r="V152" i="1"/>
  <c r="U149" i="1"/>
  <c r="V144" i="1"/>
  <c r="V141" i="1"/>
  <c r="U138" i="1"/>
  <c r="V133" i="1"/>
  <c r="U130" i="1"/>
  <c r="V125" i="1"/>
  <c r="U122" i="1"/>
  <c r="V114" i="1"/>
  <c r="U111" i="1"/>
  <c r="V106" i="1"/>
  <c r="U103" i="1"/>
  <c r="U97" i="1"/>
  <c r="V92" i="1"/>
  <c r="U89" i="1"/>
  <c r="V84" i="1"/>
  <c r="U81" i="1"/>
  <c r="V76" i="1"/>
  <c r="U73" i="1"/>
  <c r="V280" i="1"/>
  <c r="U237" i="1"/>
  <c r="V215" i="1"/>
  <c r="V211" i="1"/>
  <c r="U202" i="1"/>
  <c r="U198" i="1"/>
  <c r="U194" i="1"/>
  <c r="V193" i="1"/>
  <c r="U185" i="1"/>
  <c r="V162" i="1"/>
  <c r="V156" i="1"/>
  <c r="V153" i="1"/>
  <c r="U150" i="1"/>
  <c r="V145" i="1"/>
  <c r="V142" i="1"/>
  <c r="U139" i="1"/>
  <c r="V134" i="1"/>
  <c r="U131" i="1"/>
  <c r="V126" i="1"/>
  <c r="U123" i="1"/>
  <c r="V115" i="1"/>
  <c r="U112" i="1"/>
  <c r="V107" i="1"/>
  <c r="U104" i="1"/>
  <c r="V99" i="1"/>
  <c r="V93" i="1"/>
  <c r="U90" i="1"/>
  <c r="V85" i="1"/>
  <c r="U82" i="1"/>
  <c r="V77" i="1"/>
  <c r="U74" i="1"/>
  <c r="U224" i="1"/>
  <c r="U210" i="1"/>
  <c r="V203" i="1"/>
  <c r="U177" i="1"/>
  <c r="V165" i="1"/>
  <c r="U153" i="1"/>
  <c r="V150" i="1"/>
  <c r="U249" i="1"/>
  <c r="U230" i="1"/>
  <c r="V219" i="1"/>
  <c r="U190" i="1"/>
  <c r="U189" i="1"/>
  <c r="U165" i="1"/>
  <c r="V163" i="1"/>
  <c r="V146" i="1"/>
  <c r="U137" i="1"/>
  <c r="U129" i="1"/>
  <c r="U102" i="1"/>
  <c r="U101" i="1"/>
  <c r="V100" i="1"/>
  <c r="U245" i="1"/>
  <c r="V205" i="1"/>
  <c r="V197" i="1"/>
  <c r="U169" i="1"/>
  <c r="U225" i="1"/>
  <c r="V207" i="1"/>
  <c r="V187" i="1"/>
  <c r="U167" i="1"/>
  <c r="U157" i="1"/>
  <c r="U151" i="1"/>
  <c r="V227" i="1"/>
  <c r="U201" i="1"/>
  <c r="V186" i="1"/>
  <c r="V185" i="1"/>
  <c r="V181" i="1"/>
  <c r="U162" i="1"/>
  <c r="U152" i="1"/>
  <c r="V148" i="1"/>
  <c r="U144" i="1"/>
  <c r="V140" i="1"/>
  <c r="V136" i="1"/>
  <c r="V132" i="1"/>
  <c r="V128" i="1"/>
  <c r="V124" i="1"/>
  <c r="U118" i="1"/>
  <c r="U117" i="1"/>
  <c r="V116" i="1"/>
  <c r="V113" i="1"/>
  <c r="V112" i="1"/>
  <c r="U191" i="1"/>
  <c r="V178" i="1"/>
  <c r="V160" i="1"/>
  <c r="U148" i="1"/>
  <c r="V147" i="1"/>
  <c r="U145" i="1"/>
  <c r="U140" i="1"/>
  <c r="V127" i="1"/>
  <c r="V122" i="1"/>
  <c r="V119" i="1"/>
  <c r="U114" i="1"/>
  <c r="U108" i="1"/>
  <c r="U106" i="1"/>
  <c r="U96" i="1"/>
  <c r="V70" i="1"/>
  <c r="V65" i="1"/>
  <c r="U62" i="1"/>
  <c r="V57" i="1"/>
  <c r="U54" i="1"/>
  <c r="V232" i="1"/>
  <c r="V228" i="1"/>
  <c r="U178" i="1"/>
  <c r="V164" i="1"/>
  <c r="V161" i="1"/>
  <c r="U160" i="1"/>
  <c r="U147" i="1"/>
  <c r="U132" i="1"/>
  <c r="U119" i="1"/>
  <c r="V117" i="1"/>
  <c r="V109" i="1"/>
  <c r="V102" i="1"/>
  <c r="U92" i="1"/>
  <c r="U70" i="1"/>
  <c r="V68" i="1"/>
  <c r="U65" i="1"/>
  <c r="V60" i="1"/>
  <c r="U57" i="1"/>
  <c r="V52" i="1"/>
  <c r="U49" i="1"/>
  <c r="V224" i="1"/>
  <c r="V192" i="1"/>
  <c r="V168" i="1"/>
  <c r="U142" i="1"/>
  <c r="V139" i="1"/>
  <c r="V137" i="1"/>
  <c r="U124" i="1"/>
  <c r="V120" i="1"/>
  <c r="U109" i="1"/>
  <c r="U100" i="1"/>
  <c r="V88" i="1"/>
  <c r="V87" i="1"/>
  <c r="U68" i="1"/>
  <c r="V63" i="1"/>
  <c r="U60" i="1"/>
  <c r="V55" i="1"/>
  <c r="U52" i="1"/>
  <c r="V47" i="1"/>
  <c r="U44" i="1"/>
  <c r="V39" i="1"/>
  <c r="U36" i="1"/>
  <c r="V31" i="1"/>
  <c r="U28" i="1"/>
  <c r="V23" i="1"/>
  <c r="U20" i="1"/>
  <c r="V15" i="1"/>
  <c r="U12" i="1"/>
  <c r="V143" i="1"/>
  <c r="V104" i="1"/>
  <c r="V103" i="1"/>
  <c r="U78" i="1"/>
  <c r="U69" i="1"/>
  <c r="U64" i="1"/>
  <c r="V61" i="1"/>
  <c r="V56" i="1"/>
  <c r="V240" i="1"/>
  <c r="U154" i="1"/>
  <c r="V129" i="1"/>
  <c r="U128" i="1"/>
  <c r="U116" i="1"/>
  <c r="V98" i="1"/>
  <c r="U94" i="1"/>
  <c r="V86" i="1"/>
  <c r="U84" i="1"/>
  <c r="V79" i="1"/>
  <c r="U166" i="1"/>
  <c r="U134" i="1"/>
  <c r="U120" i="1"/>
  <c r="V110" i="1"/>
  <c r="V101" i="1"/>
  <c r="U98" i="1"/>
  <c r="V95" i="1"/>
  <c r="U93" i="1"/>
  <c r="V91" i="1"/>
  <c r="U86" i="1"/>
  <c r="V80" i="1"/>
  <c r="U79" i="1"/>
  <c r="U72" i="1"/>
  <c r="V69" i="1"/>
  <c r="V64" i="1"/>
  <c r="U48" i="1"/>
  <c r="V29" i="1"/>
  <c r="V26" i="1"/>
  <c r="V20" i="1"/>
  <c r="V17" i="1"/>
  <c r="V14" i="1"/>
  <c r="V11" i="1"/>
  <c r="V194" i="1"/>
  <c r="U168" i="1"/>
  <c r="V121" i="1"/>
  <c r="U110" i="1"/>
  <c r="V108" i="1"/>
  <c r="U99" i="1"/>
  <c r="V97" i="1"/>
  <c r="U95" i="1"/>
  <c r="U91" i="1"/>
  <c r="U85" i="1"/>
  <c r="U80" i="1"/>
  <c r="V78" i="1"/>
  <c r="V71" i="1"/>
  <c r="V67" i="1"/>
  <c r="V58" i="1"/>
  <c r="U55" i="1"/>
  <c r="V44" i="1"/>
  <c r="V41" i="1"/>
  <c r="V32" i="1"/>
  <c r="U29" i="1"/>
  <c r="U26" i="1"/>
  <c r="U23" i="1"/>
  <c r="V38" i="1"/>
  <c r="V35" i="1"/>
  <c r="U227" i="1"/>
  <c r="V158" i="1"/>
  <c r="V155" i="1"/>
  <c r="U105" i="1"/>
  <c r="V82" i="1"/>
  <c r="V75" i="1"/>
  <c r="V66" i="1"/>
  <c r="U53" i="1"/>
  <c r="V50" i="1"/>
  <c r="V46" i="1"/>
  <c r="V43" i="1"/>
  <c r="V40" i="1"/>
  <c r="U37" i="1"/>
  <c r="U34" i="1"/>
  <c r="U31" i="1"/>
  <c r="U25" i="1"/>
  <c r="U22" i="1"/>
  <c r="U19" i="1"/>
  <c r="U16" i="1"/>
  <c r="V177" i="1"/>
  <c r="V131" i="1"/>
  <c r="V123" i="1"/>
  <c r="V111" i="1"/>
  <c r="V105" i="1"/>
  <c r="U88" i="1"/>
  <c r="U87" i="1"/>
  <c r="U75" i="1"/>
  <c r="U63" i="1"/>
  <c r="U46" i="1"/>
  <c r="U39" i="1"/>
  <c r="U35" i="1"/>
  <c r="U21" i="1"/>
  <c r="U17" i="1"/>
  <c r="V12" i="1"/>
  <c r="U11" i="1"/>
  <c r="V62" i="1"/>
  <c r="V33" i="1"/>
  <c r="V18" i="1"/>
  <c r="V42" i="1"/>
  <c r="U18" i="1"/>
  <c r="U47" i="1"/>
  <c r="U42" i="1"/>
  <c r="U40" i="1"/>
  <c r="U38" i="1"/>
  <c r="U24" i="1"/>
  <c r="V22" i="1"/>
  <c r="U113" i="1"/>
  <c r="V36" i="1"/>
  <c r="V9" i="1"/>
  <c r="V54" i="1"/>
  <c r="U27" i="1"/>
  <c r="V25" i="1"/>
  <c r="U9" i="1"/>
  <c r="V73" i="1"/>
  <c r="U66" i="1"/>
  <c r="V30" i="1"/>
  <c r="U30" i="1"/>
  <c r="V28" i="1"/>
  <c r="V21" i="1"/>
  <c r="V89" i="1"/>
  <c r="V24" i="1"/>
  <c r="V13" i="1"/>
  <c r="V34" i="1"/>
  <c r="V72" i="1"/>
  <c r="U45" i="1"/>
  <c r="U32" i="1"/>
  <c r="U136" i="1"/>
  <c r="V48" i="1"/>
  <c r="U10" i="1"/>
  <c r="U126" i="1"/>
  <c r="U121" i="1"/>
  <c r="U115" i="1"/>
  <c r="V96" i="1"/>
  <c r="V90" i="1"/>
  <c r="V83" i="1"/>
  <c r="U76" i="1"/>
  <c r="U61" i="1"/>
  <c r="V59" i="1"/>
  <c r="U58" i="1"/>
  <c r="V49" i="1"/>
  <c r="U33" i="1"/>
  <c r="U170" i="1"/>
  <c r="V118" i="1"/>
  <c r="U83" i="1"/>
  <c r="V81" i="1"/>
  <c r="U59" i="1"/>
  <c r="V19" i="1"/>
  <c r="U13" i="1"/>
  <c r="V51" i="1"/>
  <c r="V27" i="1"/>
  <c r="U14" i="1"/>
  <c r="U209" i="1"/>
  <c r="U133" i="1"/>
  <c r="U56" i="1"/>
  <c r="U43" i="1"/>
  <c r="U41" i="1"/>
  <c r="V10" i="1"/>
  <c r="V151" i="1"/>
  <c r="U141" i="1"/>
  <c r="U125" i="1"/>
  <c r="U50" i="1"/>
  <c r="V16" i="1"/>
  <c r="U159" i="1"/>
  <c r="V135" i="1"/>
  <c r="V94" i="1"/>
  <c r="U77" i="1"/>
  <c r="U71" i="1"/>
  <c r="V45" i="1"/>
  <c r="U51" i="1"/>
  <c r="V74" i="1"/>
  <c r="V53" i="1"/>
  <c r="U15" i="1"/>
  <c r="U107" i="1"/>
  <c r="U67" i="1"/>
  <c r="V37" i="1"/>
  <c r="AA312" i="1"/>
  <c r="AB307" i="1"/>
  <c r="AA303" i="1"/>
  <c r="AB298" i="1"/>
  <c r="AA295" i="1"/>
  <c r="AA289" i="1"/>
  <c r="AA285" i="1"/>
  <c r="AB310" i="1"/>
  <c r="AA307" i="1"/>
  <c r="AB301" i="1"/>
  <c r="AA298" i="1"/>
  <c r="AB293" i="1"/>
  <c r="AB290" i="1"/>
  <c r="AB286" i="1"/>
  <c r="AB313" i="1"/>
  <c r="AA310" i="1"/>
  <c r="AB304" i="1"/>
  <c r="AA301" i="1"/>
  <c r="AB296" i="1"/>
  <c r="AA293" i="1"/>
  <c r="AA290" i="1"/>
  <c r="AA286" i="1"/>
  <c r="AA282" i="1"/>
  <c r="AA313" i="1"/>
  <c r="AB312" i="1"/>
  <c r="AA304" i="1"/>
  <c r="AB303" i="1"/>
  <c r="AA296" i="1"/>
  <c r="AB295" i="1"/>
  <c r="AB309" i="1"/>
  <c r="AB300" i="1"/>
  <c r="AB292" i="1"/>
  <c r="AB282" i="1"/>
  <c r="AB279" i="1"/>
  <c r="AB277" i="1"/>
  <c r="AA274" i="1"/>
  <c r="AB269" i="1"/>
  <c r="AB305" i="1"/>
  <c r="AA300" i="1"/>
  <c r="AB289" i="1"/>
  <c r="AB285" i="1"/>
  <c r="AB273" i="1"/>
  <c r="AB270" i="1"/>
  <c r="AB267" i="1"/>
  <c r="AB265" i="1"/>
  <c r="AA262" i="1"/>
  <c r="AA309" i="1"/>
  <c r="AA305" i="1"/>
  <c r="AB299" i="1"/>
  <c r="AA292" i="1"/>
  <c r="AB281" i="1"/>
  <c r="AB280" i="1"/>
  <c r="AB276" i="1"/>
  <c r="AA273" i="1"/>
  <c r="AA270" i="1"/>
  <c r="AA267" i="1"/>
  <c r="AA265" i="1"/>
  <c r="AB260" i="1"/>
  <c r="AA257" i="1"/>
  <c r="AB252" i="1"/>
  <c r="AA249" i="1"/>
  <c r="AB314" i="1"/>
  <c r="AB308" i="1"/>
  <c r="AB302" i="1"/>
  <c r="AA299" i="1"/>
  <c r="AB297" i="1"/>
  <c r="AB291" i="1"/>
  <c r="AA281" i="1"/>
  <c r="AA280" i="1"/>
  <c r="AA276" i="1"/>
  <c r="AB272" i="1"/>
  <c r="AB263" i="1"/>
  <c r="AA260" i="1"/>
  <c r="AB255" i="1"/>
  <c r="AA252" i="1"/>
  <c r="AB247" i="1"/>
  <c r="AA244" i="1"/>
  <c r="AA314" i="1"/>
  <c r="AB311" i="1"/>
  <c r="AA308" i="1"/>
  <c r="AA302" i="1"/>
  <c r="AA297" i="1"/>
  <c r="AB294" i="1"/>
  <c r="AA291" i="1"/>
  <c r="AB283" i="1"/>
  <c r="AA279" i="1"/>
  <c r="AB278" i="1"/>
  <c r="AB275" i="1"/>
  <c r="AA272" i="1"/>
  <c r="AA269" i="1"/>
  <c r="AB266" i="1"/>
  <c r="AA263" i="1"/>
  <c r="AA311" i="1"/>
  <c r="AA294" i="1"/>
  <c r="AB288" i="1"/>
  <c r="AA283" i="1"/>
  <c r="AA278" i="1"/>
  <c r="AA275" i="1"/>
  <c r="AA266" i="1"/>
  <c r="AB261" i="1"/>
  <c r="AA287" i="1"/>
  <c r="AB274" i="1"/>
  <c r="AB258" i="1"/>
  <c r="AA241" i="1"/>
  <c r="AB236" i="1"/>
  <c r="AA233" i="1"/>
  <c r="AB228" i="1"/>
  <c r="AA225" i="1"/>
  <c r="AB220" i="1"/>
  <c r="AA288" i="1"/>
  <c r="AB271" i="1"/>
  <c r="AA261" i="1"/>
  <c r="AA258" i="1"/>
  <c r="AB243" i="1"/>
  <c r="AB239" i="1"/>
  <c r="AA236" i="1"/>
  <c r="AB231" i="1"/>
  <c r="AA228" i="1"/>
  <c r="AA306" i="1"/>
  <c r="AB254" i="1"/>
  <c r="AA253" i="1"/>
  <c r="AB251" i="1"/>
  <c r="AA250" i="1"/>
  <c r="AB245" i="1"/>
  <c r="AA242" i="1"/>
  <c r="AB240" i="1"/>
  <c r="AA237" i="1"/>
  <c r="AA284" i="1"/>
  <c r="AB306" i="1"/>
  <c r="AB257" i="1"/>
  <c r="AA243" i="1"/>
  <c r="AA232" i="1"/>
  <c r="AB229" i="1"/>
  <c r="AB226" i="1"/>
  <c r="AB221" i="1"/>
  <c r="AB218" i="1"/>
  <c r="AB216" i="1"/>
  <c r="AA213" i="1"/>
  <c r="AB208" i="1"/>
  <c r="AA205" i="1"/>
  <c r="AB197" i="1"/>
  <c r="AA194" i="1"/>
  <c r="AB264" i="1"/>
  <c r="AB256" i="1"/>
  <c r="AB253" i="1"/>
  <c r="AB250" i="1"/>
  <c r="AB248" i="1"/>
  <c r="AB237" i="1"/>
  <c r="AB233" i="1"/>
  <c r="AB230" i="1"/>
  <c r="AA229" i="1"/>
  <c r="AB227" i="1"/>
  <c r="AA226" i="1"/>
  <c r="AB224" i="1"/>
  <c r="AA221" i="1"/>
  <c r="AA218" i="1"/>
  <c r="AA216" i="1"/>
  <c r="AB211" i="1"/>
  <c r="AA208" i="1"/>
  <c r="AB203" i="1"/>
  <c r="AB200" i="1"/>
  <c r="AA197" i="1"/>
  <c r="AB192" i="1"/>
  <c r="AA189" i="1"/>
  <c r="AB184" i="1"/>
  <c r="AA181" i="1"/>
  <c r="AB287" i="1"/>
  <c r="AA259" i="1"/>
  <c r="AB244" i="1"/>
  <c r="AB238" i="1"/>
  <c r="AB235" i="1"/>
  <c r="AA217" i="1"/>
  <c r="AB212" i="1"/>
  <c r="AA209" i="1"/>
  <c r="AB204" i="1"/>
  <c r="AA201" i="1"/>
  <c r="AA198" i="1"/>
  <c r="AB193" i="1"/>
  <c r="AA190" i="1"/>
  <c r="AB185" i="1"/>
  <c r="AA182" i="1"/>
  <c r="AB284" i="1"/>
  <c r="AA268" i="1"/>
  <c r="AB242" i="1"/>
  <c r="AA227" i="1"/>
  <c r="AA224" i="1"/>
  <c r="AA219" i="1"/>
  <c r="AB214" i="1"/>
  <c r="AB213" i="1"/>
  <c r="AB206" i="1"/>
  <c r="AB205" i="1"/>
  <c r="AA193" i="1"/>
  <c r="AA183" i="1"/>
  <c r="AA178" i="1"/>
  <c r="AA238" i="1"/>
  <c r="AB232" i="1"/>
  <c r="AB222" i="1"/>
  <c r="AA220" i="1"/>
  <c r="AA214" i="1"/>
  <c r="AA206" i="1"/>
  <c r="AB176" i="1"/>
  <c r="AA173" i="1"/>
  <c r="AB168" i="1"/>
  <c r="AA165" i="1"/>
  <c r="AA277" i="1"/>
  <c r="AA248" i="1"/>
  <c r="AB246" i="1"/>
  <c r="AA240" i="1"/>
  <c r="AA235" i="1"/>
  <c r="AB234" i="1"/>
  <c r="AA195" i="1"/>
  <c r="AB188" i="1"/>
  <c r="AB177" i="1"/>
  <c r="AA174" i="1"/>
  <c r="AB169" i="1"/>
  <c r="AA166" i="1"/>
  <c r="AB161" i="1"/>
  <c r="AA158" i="1"/>
  <c r="AB153" i="1"/>
  <c r="AA271" i="1"/>
  <c r="AA247" i="1"/>
  <c r="AB223" i="1"/>
  <c r="AA212" i="1"/>
  <c r="AA207" i="1"/>
  <c r="AB191" i="1"/>
  <c r="AB189" i="1"/>
  <c r="AB187" i="1"/>
  <c r="AB183" i="1"/>
  <c r="AA162" i="1"/>
  <c r="AA159" i="1"/>
  <c r="AB151" i="1"/>
  <c r="AA148" i="1"/>
  <c r="AB140" i="1"/>
  <c r="AA137" i="1"/>
  <c r="AB132" i="1"/>
  <c r="AA129" i="1"/>
  <c r="AB124" i="1"/>
  <c r="AB268" i="1"/>
  <c r="AA264" i="1"/>
  <c r="AA223" i="1"/>
  <c r="AB215" i="1"/>
  <c r="AA211" i="1"/>
  <c r="AB202" i="1"/>
  <c r="AB199" i="1"/>
  <c r="AB198" i="1"/>
  <c r="AB194" i="1"/>
  <c r="AA191" i="1"/>
  <c r="AA187" i="1"/>
  <c r="AA185" i="1"/>
  <c r="AA151" i="1"/>
  <c r="AB146" i="1"/>
  <c r="AB143" i="1"/>
  <c r="AA140" i="1"/>
  <c r="AB135" i="1"/>
  <c r="AA132" i="1"/>
  <c r="AB127" i="1"/>
  <c r="AA124" i="1"/>
  <c r="AB119" i="1"/>
  <c r="AB116" i="1"/>
  <c r="AA113" i="1"/>
  <c r="AB108" i="1"/>
  <c r="AA105" i="1"/>
  <c r="AB100" i="1"/>
  <c r="AB94" i="1"/>
  <c r="AA91" i="1"/>
  <c r="AB86" i="1"/>
  <c r="AA83" i="1"/>
  <c r="AB78" i="1"/>
  <c r="AA75" i="1"/>
  <c r="AB70" i="1"/>
  <c r="AA251" i="1"/>
  <c r="AA254" i="1"/>
  <c r="AA245" i="1"/>
  <c r="AA231" i="1"/>
  <c r="AA210" i="1"/>
  <c r="AB190" i="1"/>
  <c r="AA188" i="1"/>
  <c r="AB181" i="1"/>
  <c r="AB175" i="1"/>
  <c r="AB174" i="1"/>
  <c r="AB173" i="1"/>
  <c r="AA172" i="1"/>
  <c r="AB171" i="1"/>
  <c r="AB157" i="1"/>
  <c r="AB154" i="1"/>
  <c r="AA152" i="1"/>
  <c r="AB147" i="1"/>
  <c r="AA144" i="1"/>
  <c r="AA141" i="1"/>
  <c r="AB136" i="1"/>
  <c r="AA133" i="1"/>
  <c r="AB128" i="1"/>
  <c r="AA125" i="1"/>
  <c r="AB120" i="1"/>
  <c r="AB117" i="1"/>
  <c r="AA114" i="1"/>
  <c r="AB109" i="1"/>
  <c r="AA106" i="1"/>
  <c r="AB101" i="1"/>
  <c r="AB98" i="1"/>
  <c r="AB95" i="1"/>
  <c r="AA92" i="1"/>
  <c r="AB87" i="1"/>
  <c r="AA84" i="1"/>
  <c r="AB79" i="1"/>
  <c r="AA76" i="1"/>
  <c r="AB71" i="1"/>
  <c r="AB249" i="1"/>
  <c r="AA230" i="1"/>
  <c r="AB219" i="1"/>
  <c r="AA204" i="1"/>
  <c r="AB196" i="1"/>
  <c r="AB195" i="1"/>
  <c r="AA176" i="1"/>
  <c r="AB167" i="1"/>
  <c r="AA157" i="1"/>
  <c r="AA239" i="1"/>
  <c r="AA215" i="1"/>
  <c r="AA196" i="1"/>
  <c r="AB180" i="1"/>
  <c r="AB179" i="1"/>
  <c r="AA167" i="1"/>
  <c r="AB164" i="1"/>
  <c r="AB152" i="1"/>
  <c r="AB144" i="1"/>
  <c r="AA118" i="1"/>
  <c r="AA116" i="1"/>
  <c r="AB115" i="1"/>
  <c r="AB114" i="1"/>
  <c r="AB113" i="1"/>
  <c r="AA112" i="1"/>
  <c r="AB111" i="1"/>
  <c r="AA96" i="1"/>
  <c r="AA94" i="1"/>
  <c r="AB93" i="1"/>
  <c r="AB92" i="1"/>
  <c r="AB91" i="1"/>
  <c r="AA90" i="1"/>
  <c r="AB89" i="1"/>
  <c r="AA234" i="1"/>
  <c r="AB225" i="1"/>
  <c r="AB207" i="1"/>
  <c r="AA180" i="1"/>
  <c r="AA179" i="1"/>
  <c r="AA164" i="1"/>
  <c r="AA222" i="1"/>
  <c r="AB186" i="1"/>
  <c r="AB182" i="1"/>
  <c r="AA175" i="1"/>
  <c r="AB172" i="1"/>
  <c r="AB170" i="1"/>
  <c r="AB166" i="1"/>
  <c r="AB160" i="1"/>
  <c r="AB158" i="1"/>
  <c r="AA155" i="1"/>
  <c r="AA149" i="1"/>
  <c r="AA246" i="1"/>
  <c r="AB241" i="1"/>
  <c r="AB217" i="1"/>
  <c r="AB209" i="1"/>
  <c r="AA202" i="1"/>
  <c r="AA192" i="1"/>
  <c r="AB156" i="1"/>
  <c r="AA153" i="1"/>
  <c r="AA150" i="1"/>
  <c r="AA146" i="1"/>
  <c r="AA145" i="1"/>
  <c r="AB138" i="1"/>
  <c r="AB137" i="1"/>
  <c r="AB130" i="1"/>
  <c r="AB129" i="1"/>
  <c r="AB122" i="1"/>
  <c r="AA102" i="1"/>
  <c r="AA100" i="1"/>
  <c r="AB99" i="1"/>
  <c r="AB210" i="1"/>
  <c r="AA171" i="1"/>
  <c r="AB163" i="1"/>
  <c r="AA142" i="1"/>
  <c r="AA139" i="1"/>
  <c r="AB134" i="1"/>
  <c r="AB131" i="1"/>
  <c r="AA115" i="1"/>
  <c r="AB107" i="1"/>
  <c r="AB105" i="1"/>
  <c r="AA97" i="1"/>
  <c r="AB90" i="1"/>
  <c r="AA85" i="1"/>
  <c r="AA81" i="1"/>
  <c r="AB80" i="1"/>
  <c r="AA79" i="1"/>
  <c r="AB74" i="1"/>
  <c r="AB67" i="1"/>
  <c r="AA64" i="1"/>
  <c r="AB59" i="1"/>
  <c r="AA56" i="1"/>
  <c r="AA168" i="1"/>
  <c r="AA163" i="1"/>
  <c r="AA136" i="1"/>
  <c r="AA134" i="1"/>
  <c r="AA131" i="1"/>
  <c r="AB126" i="1"/>
  <c r="AB123" i="1"/>
  <c r="AB110" i="1"/>
  <c r="AA107" i="1"/>
  <c r="AB103" i="1"/>
  <c r="AA98" i="1"/>
  <c r="AA80" i="1"/>
  <c r="AA78" i="1"/>
  <c r="AB77" i="1"/>
  <c r="AB76" i="1"/>
  <c r="AB75" i="1"/>
  <c r="AA74" i="1"/>
  <c r="AB73" i="1"/>
  <c r="AA67" i="1"/>
  <c r="AB62" i="1"/>
  <c r="AA59" i="1"/>
  <c r="AB54" i="1"/>
  <c r="AA51" i="1"/>
  <c r="AA256" i="1"/>
  <c r="AA199" i="1"/>
  <c r="AB141" i="1"/>
  <c r="AA128" i="1"/>
  <c r="AA126" i="1"/>
  <c r="AA123" i="1"/>
  <c r="AB121" i="1"/>
  <c r="AB118" i="1"/>
  <c r="AA110" i="1"/>
  <c r="AA103" i="1"/>
  <c r="AA101" i="1"/>
  <c r="AA95" i="1"/>
  <c r="AA77" i="1"/>
  <c r="AA73" i="1"/>
  <c r="AB72" i="1"/>
  <c r="AA71" i="1"/>
  <c r="AB65" i="1"/>
  <c r="AA62" i="1"/>
  <c r="AB57" i="1"/>
  <c r="AA54" i="1"/>
  <c r="AB49" i="1"/>
  <c r="AA46" i="1"/>
  <c r="AB41" i="1"/>
  <c r="AA38" i="1"/>
  <c r="AB33" i="1"/>
  <c r="AA30" i="1"/>
  <c r="AB25" i="1"/>
  <c r="AA22" i="1"/>
  <c r="AB17" i="1"/>
  <c r="AA14" i="1"/>
  <c r="AB9" i="1"/>
  <c r="AB149" i="1"/>
  <c r="AB148" i="1"/>
  <c r="AA119" i="1"/>
  <c r="AB102" i="1"/>
  <c r="AB88" i="1"/>
  <c r="AB82" i="1"/>
  <c r="AB68" i="1"/>
  <c r="AB63" i="1"/>
  <c r="AA58" i="1"/>
  <c r="AB262" i="1"/>
  <c r="AB259" i="1"/>
  <c r="AA184" i="1"/>
  <c r="AA169" i="1"/>
  <c r="AB162" i="1"/>
  <c r="AA138" i="1"/>
  <c r="AA135" i="1"/>
  <c r="AA127" i="1"/>
  <c r="AB125" i="1"/>
  <c r="AA122" i="1"/>
  <c r="AA121" i="1"/>
  <c r="AB106" i="1"/>
  <c r="AB104" i="1"/>
  <c r="AA89" i="1"/>
  <c r="AB139" i="1"/>
  <c r="AB112" i="1"/>
  <c r="AA111" i="1"/>
  <c r="AB97" i="1"/>
  <c r="AB96" i="1"/>
  <c r="AB85" i="1"/>
  <c r="AB84" i="1"/>
  <c r="AA68" i="1"/>
  <c r="AA63" i="1"/>
  <c r="AA53" i="1"/>
  <c r="AB50" i="1"/>
  <c r="AA49" i="1"/>
  <c r="AA43" i="1"/>
  <c r="AA40" i="1"/>
  <c r="AB36" i="1"/>
  <c r="AB21" i="1"/>
  <c r="AB18" i="1"/>
  <c r="AB15" i="1"/>
  <c r="AA12" i="1"/>
  <c r="AA9" i="1"/>
  <c r="AB201" i="1"/>
  <c r="AA186" i="1"/>
  <c r="AA104" i="1"/>
  <c r="AA88" i="1"/>
  <c r="AB83" i="1"/>
  <c r="AB51" i="1"/>
  <c r="AA50" i="1"/>
  <c r="AB45" i="1"/>
  <c r="AB42" i="1"/>
  <c r="AB30" i="1"/>
  <c r="AB27" i="1"/>
  <c r="AB24" i="1"/>
  <c r="AA21" i="1"/>
  <c r="AB39" i="1"/>
  <c r="AA36" i="1"/>
  <c r="AA33" i="1"/>
  <c r="AB165" i="1"/>
  <c r="AA147" i="1"/>
  <c r="AA72" i="1"/>
  <c r="AB60" i="1"/>
  <c r="AB47" i="1"/>
  <c r="AA44" i="1"/>
  <c r="AA41" i="1"/>
  <c r="AB38" i="1"/>
  <c r="AB35" i="1"/>
  <c r="AB32" i="1"/>
  <c r="AA29" i="1"/>
  <c r="AA26" i="1"/>
  <c r="AA23" i="1"/>
  <c r="AA11" i="1"/>
  <c r="AA86" i="1"/>
  <c r="AB61" i="1"/>
  <c r="AA47" i="1"/>
  <c r="AB40" i="1"/>
  <c r="AB22" i="1"/>
  <c r="AB20" i="1"/>
  <c r="AA19" i="1"/>
  <c r="AB14" i="1"/>
  <c r="AA108" i="1"/>
  <c r="AB81" i="1"/>
  <c r="AB58" i="1"/>
  <c r="AB34" i="1"/>
  <c r="AA27" i="1"/>
  <c r="AA32" i="1"/>
  <c r="AB23" i="1"/>
  <c r="AB10" i="1"/>
  <c r="AB16" i="1"/>
  <c r="AA28" i="1"/>
  <c r="AB26" i="1"/>
  <c r="AA130" i="1"/>
  <c r="AA35" i="1"/>
  <c r="AD4" i="1"/>
  <c r="AB31" i="1"/>
  <c r="AB29" i="1"/>
  <c r="AA18" i="1"/>
  <c r="AB13" i="1"/>
  <c r="AA120" i="1"/>
  <c r="AA87" i="1"/>
  <c r="AA60" i="1"/>
  <c r="AB19" i="1"/>
  <c r="AA203" i="1"/>
  <c r="AA82" i="1"/>
  <c r="AA70" i="1"/>
  <c r="AA61" i="1"/>
  <c r="AA57" i="1"/>
  <c r="AA45" i="1"/>
  <c r="AA20" i="1"/>
  <c r="AA25" i="1"/>
  <c r="AB55" i="1"/>
  <c r="AB48" i="1"/>
  <c r="AB28" i="1"/>
  <c r="AA10" i="1"/>
  <c r="AA65" i="1"/>
  <c r="AB53" i="1"/>
  <c r="AB44" i="1"/>
  <c r="AA39" i="1"/>
  <c r="AB37" i="1"/>
  <c r="AA255" i="1"/>
  <c r="AB155" i="1"/>
  <c r="AA37" i="1"/>
  <c r="AA42" i="1"/>
  <c r="AA31" i="1"/>
  <c r="AA170" i="1"/>
  <c r="AA154" i="1"/>
  <c r="AA93" i="1"/>
  <c r="AA34" i="1"/>
  <c r="AA15" i="1"/>
  <c r="AA161" i="1"/>
  <c r="AB159" i="1"/>
  <c r="AB145" i="1"/>
  <c r="AB142" i="1"/>
  <c r="AA109" i="1"/>
  <c r="AB69" i="1"/>
  <c r="AB43" i="1"/>
  <c r="AB56" i="1"/>
  <c r="AA48" i="1"/>
  <c r="AA17" i="1"/>
  <c r="AA16" i="1"/>
  <c r="AB12" i="1"/>
  <c r="AB11" i="1"/>
  <c r="AA52" i="1"/>
  <c r="AA177" i="1"/>
  <c r="AA160" i="1"/>
  <c r="AA156" i="1"/>
  <c r="AB64" i="1"/>
  <c r="AA24" i="1"/>
  <c r="AA200" i="1"/>
  <c r="AB178" i="1"/>
  <c r="AB150" i="1"/>
  <c r="AA143" i="1"/>
  <c r="AB133" i="1"/>
  <c r="AA69" i="1"/>
  <c r="AB66" i="1"/>
  <c r="AA55" i="1"/>
  <c r="AA66" i="1"/>
  <c r="AB52" i="1"/>
  <c r="AB46" i="1"/>
  <c r="AA117" i="1"/>
  <c r="AA99" i="1"/>
  <c r="AA13" i="1"/>
  <c r="Q314" i="1"/>
  <c r="R309" i="1"/>
  <c r="R306" i="1"/>
  <c r="R300" i="1"/>
  <c r="Q297" i="1"/>
  <c r="R292" i="1"/>
  <c r="Q288" i="1"/>
  <c r="Q284" i="1"/>
  <c r="R312" i="1"/>
  <c r="Q309" i="1"/>
  <c r="Q306" i="1"/>
  <c r="R303" i="1"/>
  <c r="Q300" i="1"/>
  <c r="R295" i="1"/>
  <c r="Q292" i="1"/>
  <c r="R289" i="1"/>
  <c r="Q312" i="1"/>
  <c r="R307" i="1"/>
  <c r="Q303" i="1"/>
  <c r="R298" i="1"/>
  <c r="Q295" i="1"/>
  <c r="Q289" i="1"/>
  <c r="Q285" i="1"/>
  <c r="R279" i="1"/>
  <c r="Q310" i="1"/>
  <c r="Q301" i="1"/>
  <c r="Q293" i="1"/>
  <c r="R286" i="1"/>
  <c r="R305" i="1"/>
  <c r="R287" i="1"/>
  <c r="Q286" i="1"/>
  <c r="R282" i="1"/>
  <c r="Q276" i="1"/>
  <c r="R271" i="1"/>
  <c r="Q268" i="1"/>
  <c r="R311" i="1"/>
  <c r="Q308" i="1"/>
  <c r="R304" i="1"/>
  <c r="Q302" i="1"/>
  <c r="R294" i="1"/>
  <c r="Q291" i="1"/>
  <c r="R281" i="1"/>
  <c r="Q264" i="1"/>
  <c r="R259" i="1"/>
  <c r="R313" i="1"/>
  <c r="Q311" i="1"/>
  <c r="Q304" i="1"/>
  <c r="R301" i="1"/>
  <c r="R296" i="1"/>
  <c r="Q294" i="1"/>
  <c r="R288" i="1"/>
  <c r="Q281" i="1"/>
  <c r="R280" i="1"/>
  <c r="R273" i="1"/>
  <c r="R270" i="1"/>
  <c r="R267" i="1"/>
  <c r="R262" i="1"/>
  <c r="Q259" i="1"/>
  <c r="R254" i="1"/>
  <c r="Q251" i="1"/>
  <c r="Q313" i="1"/>
  <c r="R310" i="1"/>
  <c r="Q296" i="1"/>
  <c r="R293" i="1"/>
  <c r="R283" i="1"/>
  <c r="Q282" i="1"/>
  <c r="Q280" i="1"/>
  <c r="Q279" i="1"/>
  <c r="R276" i="1"/>
  <c r="Q273" i="1"/>
  <c r="Q270" i="1"/>
  <c r="Q267" i="1"/>
  <c r="R265" i="1"/>
  <c r="Q262" i="1"/>
  <c r="R257" i="1"/>
  <c r="Q254" i="1"/>
  <c r="R249" i="1"/>
  <c r="Q246" i="1"/>
  <c r="Q298" i="1"/>
  <c r="R284" i="1"/>
  <c r="Q283" i="1"/>
  <c r="R272" i="1"/>
  <c r="R269" i="1"/>
  <c r="Q265" i="1"/>
  <c r="R260" i="1"/>
  <c r="Q307" i="1"/>
  <c r="R290" i="1"/>
  <c r="Q287" i="1"/>
  <c r="R285" i="1"/>
  <c r="R278" i="1"/>
  <c r="R275" i="1"/>
  <c r="Q272" i="1"/>
  <c r="Q269" i="1"/>
  <c r="R263" i="1"/>
  <c r="Q260" i="1"/>
  <c r="R297" i="1"/>
  <c r="R258" i="1"/>
  <c r="Q247" i="1"/>
  <c r="Q244" i="1"/>
  <c r="R238" i="1"/>
  <c r="Q235" i="1"/>
  <c r="R230" i="1"/>
  <c r="Q227" i="1"/>
  <c r="R222" i="1"/>
  <c r="Q219" i="1"/>
  <c r="Q305" i="1"/>
  <c r="Q278" i="1"/>
  <c r="Q258" i="1"/>
  <c r="R255" i="1"/>
  <c r="R241" i="1"/>
  <c r="Q238" i="1"/>
  <c r="R233" i="1"/>
  <c r="Q230" i="1"/>
  <c r="R225" i="1"/>
  <c r="Q274" i="1"/>
  <c r="Q253" i="1"/>
  <c r="R251" i="1"/>
  <c r="Q250" i="1"/>
  <c r="R242" i="1"/>
  <c r="Q239" i="1"/>
  <c r="R234" i="1"/>
  <c r="R299" i="1"/>
  <c r="R277" i="1"/>
  <c r="R314" i="1"/>
  <c r="Q299" i="1"/>
  <c r="Q277" i="1"/>
  <c r="R274" i="1"/>
  <c r="Q271" i="1"/>
  <c r="Q261" i="1"/>
  <c r="Q255" i="1"/>
  <c r="Q252" i="1"/>
  <c r="R246" i="1"/>
  <c r="Q241" i="1"/>
  <c r="Q237" i="1"/>
  <c r="Q232" i="1"/>
  <c r="R229" i="1"/>
  <c r="Q228" i="1"/>
  <c r="R226" i="1"/>
  <c r="Q215" i="1"/>
  <c r="R210" i="1"/>
  <c r="Q207" i="1"/>
  <c r="R202" i="1"/>
  <c r="R199" i="1"/>
  <c r="Q196" i="1"/>
  <c r="R268" i="1"/>
  <c r="R244" i="1"/>
  <c r="Q242" i="1"/>
  <c r="Q234" i="1"/>
  <c r="Q229" i="1"/>
  <c r="R227" i="1"/>
  <c r="Q226" i="1"/>
  <c r="Q225" i="1"/>
  <c r="R224" i="1"/>
  <c r="R221" i="1"/>
  <c r="R218" i="1"/>
  <c r="R213" i="1"/>
  <c r="Q210" i="1"/>
  <c r="R205" i="1"/>
  <c r="Q202" i="1"/>
  <c r="Q199" i="1"/>
  <c r="R194" i="1"/>
  <c r="Q191" i="1"/>
  <c r="R186" i="1"/>
  <c r="Q183" i="1"/>
  <c r="Q275" i="1"/>
  <c r="R308" i="1"/>
  <c r="R266" i="1"/>
  <c r="R264" i="1"/>
  <c r="Q257" i="1"/>
  <c r="R245" i="1"/>
  <c r="R236" i="1"/>
  <c r="Q223" i="1"/>
  <c r="Q220" i="1"/>
  <c r="R214" i="1"/>
  <c r="Q211" i="1"/>
  <c r="R206" i="1"/>
  <c r="Q203" i="1"/>
  <c r="Q200" i="1"/>
  <c r="R195" i="1"/>
  <c r="Q192" i="1"/>
  <c r="R187" i="1"/>
  <c r="Q184" i="1"/>
  <c r="R302" i="1"/>
  <c r="Q290" i="1"/>
  <c r="R253" i="1"/>
  <c r="R252" i="1"/>
  <c r="Q249" i="1"/>
  <c r="Q248" i="1"/>
  <c r="R247" i="1"/>
  <c r="Q240" i="1"/>
  <c r="R235" i="1"/>
  <c r="Q231" i="1"/>
  <c r="R223" i="1"/>
  <c r="R198" i="1"/>
  <c r="Q180" i="1"/>
  <c r="R256" i="1"/>
  <c r="Q245" i="1"/>
  <c r="R228" i="1"/>
  <c r="Q218" i="1"/>
  <c r="R215" i="1"/>
  <c r="R211" i="1"/>
  <c r="R207" i="1"/>
  <c r="R203" i="1"/>
  <c r="Q198" i="1"/>
  <c r="Q194" i="1"/>
  <c r="R178" i="1"/>
  <c r="Q175" i="1"/>
  <c r="R170" i="1"/>
  <c r="Q167" i="1"/>
  <c r="Q212" i="1"/>
  <c r="Q204" i="1"/>
  <c r="R200" i="1"/>
  <c r="R196" i="1"/>
  <c r="R192" i="1"/>
  <c r="R190" i="1"/>
  <c r="R189" i="1"/>
  <c r="R188" i="1"/>
  <c r="R179" i="1"/>
  <c r="Q176" i="1"/>
  <c r="R171" i="1"/>
  <c r="Q168" i="1"/>
  <c r="R163" i="1"/>
  <c r="Q160" i="1"/>
  <c r="R155" i="1"/>
  <c r="Q266" i="1"/>
  <c r="R239" i="1"/>
  <c r="R232" i="1"/>
  <c r="Q221" i="1"/>
  <c r="Q214" i="1"/>
  <c r="R209" i="1"/>
  <c r="Q205" i="1"/>
  <c r="R181" i="1"/>
  <c r="Q178" i="1"/>
  <c r="R162" i="1"/>
  <c r="R159" i="1"/>
  <c r="Q156" i="1"/>
  <c r="R153" i="1"/>
  <c r="Q150" i="1"/>
  <c r="R145" i="1"/>
  <c r="R142" i="1"/>
  <c r="Q139" i="1"/>
  <c r="R134" i="1"/>
  <c r="Q131" i="1"/>
  <c r="R126" i="1"/>
  <c r="Q123" i="1"/>
  <c r="Q256" i="1"/>
  <c r="R250" i="1"/>
  <c r="R240" i="1"/>
  <c r="Q233" i="1"/>
  <c r="R219" i="1"/>
  <c r="Q209" i="1"/>
  <c r="Q190" i="1"/>
  <c r="Q188" i="1"/>
  <c r="Q181" i="1"/>
  <c r="Q179" i="1"/>
  <c r="Q162" i="1"/>
  <c r="Q159" i="1"/>
  <c r="Q153" i="1"/>
  <c r="R148" i="1"/>
  <c r="Q145" i="1"/>
  <c r="Q142" i="1"/>
  <c r="R137" i="1"/>
  <c r="Q134" i="1"/>
  <c r="R129" i="1"/>
  <c r="Q126" i="1"/>
  <c r="R121" i="1"/>
  <c r="R118" i="1"/>
  <c r="Q115" i="1"/>
  <c r="R110" i="1"/>
  <c r="Q107" i="1"/>
  <c r="R102" i="1"/>
  <c r="Q99" i="1"/>
  <c r="R96" i="1"/>
  <c r="Q93" i="1"/>
  <c r="R88" i="1"/>
  <c r="Q85" i="1"/>
  <c r="R80" i="1"/>
  <c r="Q77" i="1"/>
  <c r="R72" i="1"/>
  <c r="R291" i="1"/>
  <c r="R248" i="1"/>
  <c r="Q224" i="1"/>
  <c r="R216" i="1"/>
  <c r="R212" i="1"/>
  <c r="R175" i="1"/>
  <c r="Q174" i="1"/>
  <c r="Q173" i="1"/>
  <c r="Q172" i="1"/>
  <c r="Q171" i="1"/>
  <c r="R169" i="1"/>
  <c r="R149" i="1"/>
  <c r="Q146" i="1"/>
  <c r="Q143" i="1"/>
  <c r="R138" i="1"/>
  <c r="Q135" i="1"/>
  <c r="R130" i="1"/>
  <c r="Q127" i="1"/>
  <c r="R122" i="1"/>
  <c r="Q119" i="1"/>
  <c r="Q116" i="1"/>
  <c r="R111" i="1"/>
  <c r="Q108" i="1"/>
  <c r="R103" i="1"/>
  <c r="Q100" i="1"/>
  <c r="R97" i="1"/>
  <c r="Q94" i="1"/>
  <c r="R89" i="1"/>
  <c r="Q86" i="1"/>
  <c r="R81" i="1"/>
  <c r="Q78" i="1"/>
  <c r="R73" i="1"/>
  <c r="R261" i="1"/>
  <c r="Q193" i="1"/>
  <c r="R191" i="1"/>
  <c r="R184" i="1"/>
  <c r="R183" i="1"/>
  <c r="R172" i="1"/>
  <c r="Q170" i="1"/>
  <c r="R168" i="1"/>
  <c r="Q166" i="1"/>
  <c r="R158" i="1"/>
  <c r="Q155" i="1"/>
  <c r="Q152" i="1"/>
  <c r="Q148" i="1"/>
  <c r="R177" i="1"/>
  <c r="R160" i="1"/>
  <c r="Q158" i="1"/>
  <c r="Q149" i="1"/>
  <c r="Q136" i="1"/>
  <c r="Q128" i="1"/>
  <c r="R115" i="1"/>
  <c r="Q114" i="1"/>
  <c r="Q113" i="1"/>
  <c r="Q112" i="1"/>
  <c r="Q111" i="1"/>
  <c r="R109" i="1"/>
  <c r="R93" i="1"/>
  <c r="Q92" i="1"/>
  <c r="Q91" i="1"/>
  <c r="Q90" i="1"/>
  <c r="Q89" i="1"/>
  <c r="R204" i="1"/>
  <c r="Q195" i="1"/>
  <c r="Q189" i="1"/>
  <c r="Q177" i="1"/>
  <c r="R174" i="1"/>
  <c r="R165" i="1"/>
  <c r="R243" i="1"/>
  <c r="R231" i="1"/>
  <c r="R220" i="1"/>
  <c r="Q213" i="1"/>
  <c r="Q206" i="1"/>
  <c r="R197" i="1"/>
  <c r="Q165" i="1"/>
  <c r="Q163" i="1"/>
  <c r="R161" i="1"/>
  <c r="R156" i="1"/>
  <c r="R150" i="1"/>
  <c r="Q216" i="1"/>
  <c r="R180" i="1"/>
  <c r="R173" i="1"/>
  <c r="R167" i="1"/>
  <c r="R157" i="1"/>
  <c r="Q154" i="1"/>
  <c r="Q151" i="1"/>
  <c r="R147" i="1"/>
  <c r="Q122" i="1"/>
  <c r="R120" i="1"/>
  <c r="R99" i="1"/>
  <c r="R98" i="1"/>
  <c r="Q201" i="1"/>
  <c r="Q138" i="1"/>
  <c r="R135" i="1"/>
  <c r="Q133" i="1"/>
  <c r="R125" i="1"/>
  <c r="Q121" i="1"/>
  <c r="Q118" i="1"/>
  <c r="R116" i="1"/>
  <c r="Q101" i="1"/>
  <c r="R95" i="1"/>
  <c r="Q80" i="1"/>
  <c r="Q79" i="1"/>
  <c r="R78" i="1"/>
  <c r="R76" i="1"/>
  <c r="R75" i="1"/>
  <c r="R74" i="1"/>
  <c r="R69" i="1"/>
  <c r="Q66" i="1"/>
  <c r="R61" i="1"/>
  <c r="Q58" i="1"/>
  <c r="Q243" i="1"/>
  <c r="Q187" i="1"/>
  <c r="R140" i="1"/>
  <c r="Q130" i="1"/>
  <c r="R127" i="1"/>
  <c r="Q125" i="1"/>
  <c r="R108" i="1"/>
  <c r="R106" i="1"/>
  <c r="R104" i="1"/>
  <c r="Q95" i="1"/>
  <c r="R91" i="1"/>
  <c r="R77" i="1"/>
  <c r="Q76" i="1"/>
  <c r="Q75" i="1"/>
  <c r="Q74" i="1"/>
  <c r="Q73" i="1"/>
  <c r="R71" i="1"/>
  <c r="Q69" i="1"/>
  <c r="R64" i="1"/>
  <c r="Q61" i="1"/>
  <c r="R56" i="1"/>
  <c r="Q53" i="1"/>
  <c r="Q263" i="1"/>
  <c r="Q236" i="1"/>
  <c r="R208" i="1"/>
  <c r="Q197" i="1"/>
  <c r="R164" i="1"/>
  <c r="Q161" i="1"/>
  <c r="Q140" i="1"/>
  <c r="R132" i="1"/>
  <c r="R119" i="1"/>
  <c r="R114" i="1"/>
  <c r="Q106" i="1"/>
  <c r="Q104" i="1"/>
  <c r="Q72" i="1"/>
  <c r="Q71" i="1"/>
  <c r="R67" i="1"/>
  <c r="Q64" i="1"/>
  <c r="R59" i="1"/>
  <c r="Q56" i="1"/>
  <c r="R51" i="1"/>
  <c r="Q48" i="1"/>
  <c r="R43" i="1"/>
  <c r="Q40" i="1"/>
  <c r="R35" i="1"/>
  <c r="Q32" i="1"/>
  <c r="R27" i="1"/>
  <c r="Q24" i="1"/>
  <c r="R19" i="1"/>
  <c r="Q16" i="1"/>
  <c r="R11" i="1"/>
  <c r="Q185" i="1"/>
  <c r="Q157" i="1"/>
  <c r="Q147" i="1"/>
  <c r="R146" i="1"/>
  <c r="R144" i="1"/>
  <c r="R141" i="1"/>
  <c r="Q137" i="1"/>
  <c r="R113" i="1"/>
  <c r="Q105" i="1"/>
  <c r="Q68" i="1"/>
  <c r="Q63" i="1"/>
  <c r="R60" i="1"/>
  <c r="R55" i="1"/>
  <c r="Q208" i="1"/>
  <c r="R182" i="1"/>
  <c r="R176" i="1"/>
  <c r="R117" i="1"/>
  <c r="Q110" i="1"/>
  <c r="R100" i="1"/>
  <c r="R85" i="1"/>
  <c r="R133" i="1"/>
  <c r="R90" i="1"/>
  <c r="R66" i="1"/>
  <c r="R62" i="1"/>
  <c r="Q59" i="1"/>
  <c r="R57" i="1"/>
  <c r="Q51" i="1"/>
  <c r="R50" i="1"/>
  <c r="Q49" i="1"/>
  <c r="Q46" i="1"/>
  <c r="Q43" i="1"/>
  <c r="R40" i="1"/>
  <c r="Q37" i="1"/>
  <c r="Q34" i="1"/>
  <c r="Q31" i="1"/>
  <c r="R12" i="1"/>
  <c r="R9" i="1"/>
  <c r="Q182" i="1"/>
  <c r="R166" i="1"/>
  <c r="R152" i="1"/>
  <c r="R143" i="1"/>
  <c r="Q120" i="1"/>
  <c r="Q109" i="1"/>
  <c r="R94" i="1"/>
  <c r="Q81" i="1"/>
  <c r="Q62" i="1"/>
  <c r="Q57" i="1"/>
  <c r="Q50" i="1"/>
  <c r="R33" i="1"/>
  <c r="R30" i="1"/>
  <c r="R21" i="1"/>
  <c r="R107" i="1"/>
  <c r="R36" i="1"/>
  <c r="R217" i="1"/>
  <c r="R136" i="1"/>
  <c r="R131" i="1"/>
  <c r="R124" i="1"/>
  <c r="Q103" i="1"/>
  <c r="Q102" i="1"/>
  <c r="Q88" i="1"/>
  <c r="Q84" i="1"/>
  <c r="R83" i="1"/>
  <c r="Q70" i="1"/>
  <c r="Q65" i="1"/>
  <c r="Q55" i="1"/>
  <c r="R44" i="1"/>
  <c r="R41" i="1"/>
  <c r="R38" i="1"/>
  <c r="R29" i="1"/>
  <c r="R26" i="1"/>
  <c r="R23" i="1"/>
  <c r="Q20" i="1"/>
  <c r="Q17" i="1"/>
  <c r="Q14" i="1"/>
  <c r="Q11" i="1"/>
  <c r="Q222" i="1"/>
  <c r="Q217" i="1"/>
  <c r="R237" i="1"/>
  <c r="R201" i="1"/>
  <c r="Q164" i="1"/>
  <c r="R151" i="1"/>
  <c r="Q144" i="1"/>
  <c r="Q141" i="1"/>
  <c r="R139" i="1"/>
  <c r="R79" i="1"/>
  <c r="Q67" i="1"/>
  <c r="Q41" i="1"/>
  <c r="Q30" i="1"/>
  <c r="Q25" i="1"/>
  <c r="Q23" i="1"/>
  <c r="R15" i="1"/>
  <c r="R123" i="1"/>
  <c r="Q117" i="1"/>
  <c r="R105" i="1"/>
  <c r="R86" i="1"/>
  <c r="R48" i="1"/>
  <c r="R28" i="1"/>
  <c r="R10" i="1"/>
  <c r="Q39" i="1"/>
  <c r="R37" i="1"/>
  <c r="Q35" i="1"/>
  <c r="Q21" i="1"/>
  <c r="R17" i="1"/>
  <c r="R16" i="1"/>
  <c r="Q97" i="1"/>
  <c r="Q83" i="1"/>
  <c r="R13" i="1"/>
  <c r="R84" i="1"/>
  <c r="R14" i="1"/>
  <c r="Q54" i="1"/>
  <c r="R92" i="1"/>
  <c r="R87" i="1"/>
  <c r="R53" i="1"/>
  <c r="R39" i="1"/>
  <c r="Q15" i="1"/>
  <c r="Q10" i="1"/>
  <c r="R82" i="1"/>
  <c r="Q12" i="1"/>
  <c r="R58" i="1"/>
  <c r="R49" i="1"/>
  <c r="R31" i="1"/>
  <c r="R47" i="1"/>
  <c r="Q18" i="1"/>
  <c r="R65" i="1"/>
  <c r="R34" i="1"/>
  <c r="R25" i="1"/>
  <c r="Q9" i="1"/>
  <c r="R193" i="1"/>
  <c r="Q186" i="1"/>
  <c r="R112" i="1"/>
  <c r="Q87" i="1"/>
  <c r="R63" i="1"/>
  <c r="R52" i="1"/>
  <c r="R46" i="1"/>
  <c r="Q44" i="1"/>
  <c r="Q28" i="1"/>
  <c r="Q26" i="1"/>
  <c r="R154" i="1"/>
  <c r="Q132" i="1"/>
  <c r="Q129" i="1"/>
  <c r="Q96" i="1"/>
  <c r="R70" i="1"/>
  <c r="Q60" i="1"/>
  <c r="Q52" i="1"/>
  <c r="Q33" i="1"/>
  <c r="R101" i="1"/>
  <c r="Q29" i="1"/>
  <c r="R24" i="1"/>
  <c r="R18" i="1"/>
  <c r="Q98" i="1"/>
  <c r="R68" i="1"/>
  <c r="R54" i="1"/>
  <c r="Q47" i="1"/>
  <c r="R45" i="1"/>
  <c r="Q27" i="1"/>
  <c r="Q22" i="1"/>
  <c r="R20" i="1"/>
  <c r="Q13" i="1"/>
  <c r="R185" i="1"/>
  <c r="R128" i="1"/>
  <c r="Q45" i="1"/>
  <c r="R32" i="1"/>
  <c r="Q124" i="1"/>
  <c r="Q82" i="1"/>
  <c r="R42" i="1"/>
  <c r="Q42" i="1"/>
  <c r="Q38" i="1"/>
  <c r="R22" i="1"/>
  <c r="Q36" i="1"/>
  <c r="Q19" i="1"/>
  <c r="Q169" i="1"/>
  <c r="S312" i="1"/>
  <c r="T307" i="1"/>
  <c r="S303" i="1"/>
  <c r="T298" i="1"/>
  <c r="S295" i="1"/>
  <c r="S289" i="1"/>
  <c r="S285" i="1"/>
  <c r="T310" i="1"/>
  <c r="S307" i="1"/>
  <c r="T301" i="1"/>
  <c r="S298" i="1"/>
  <c r="T293" i="1"/>
  <c r="T290" i="1"/>
  <c r="T286" i="1"/>
  <c r="T313" i="1"/>
  <c r="S310" i="1"/>
  <c r="T304" i="1"/>
  <c r="S301" i="1"/>
  <c r="T296" i="1"/>
  <c r="S293" i="1"/>
  <c r="S290" i="1"/>
  <c r="S286" i="1"/>
  <c r="S282" i="1"/>
  <c r="T314" i="1"/>
  <c r="S305" i="1"/>
  <c r="T297" i="1"/>
  <c r="S287" i="1"/>
  <c r="T282" i="1"/>
  <c r="S314" i="1"/>
  <c r="T311" i="1"/>
  <c r="T302" i="1"/>
  <c r="S297" i="1"/>
  <c r="T294" i="1"/>
  <c r="T285" i="1"/>
  <c r="S279" i="1"/>
  <c r="T277" i="1"/>
  <c r="S274" i="1"/>
  <c r="T269" i="1"/>
  <c r="S313" i="1"/>
  <c r="S296" i="1"/>
  <c r="S288" i="1"/>
  <c r="T283" i="1"/>
  <c r="S280" i="1"/>
  <c r="T276" i="1"/>
  <c r="S273" i="1"/>
  <c r="S270" i="1"/>
  <c r="S267" i="1"/>
  <c r="T265" i="1"/>
  <c r="S262" i="1"/>
  <c r="T306" i="1"/>
  <c r="T284" i="1"/>
  <c r="S283" i="1"/>
  <c r="T279" i="1"/>
  <c r="S276" i="1"/>
  <c r="T272" i="1"/>
  <c r="S265" i="1"/>
  <c r="T260" i="1"/>
  <c r="S257" i="1"/>
  <c r="T252" i="1"/>
  <c r="S249" i="1"/>
  <c r="S306" i="1"/>
  <c r="S284" i="1"/>
  <c r="T278" i="1"/>
  <c r="T275" i="1"/>
  <c r="S272" i="1"/>
  <c r="S269" i="1"/>
  <c r="T263" i="1"/>
  <c r="S260" i="1"/>
  <c r="T255" i="1"/>
  <c r="S252" i="1"/>
  <c r="T247" i="1"/>
  <c r="S244" i="1"/>
  <c r="T303" i="1"/>
  <c r="T289" i="1"/>
  <c r="T287" i="1"/>
  <c r="S278" i="1"/>
  <c r="S275" i="1"/>
  <c r="T266" i="1"/>
  <c r="S263" i="1"/>
  <c r="T312" i="1"/>
  <c r="T300" i="1"/>
  <c r="T299" i="1"/>
  <c r="T295" i="1"/>
  <c r="S266" i="1"/>
  <c r="T261" i="1"/>
  <c r="S309" i="1"/>
  <c r="T305" i="1"/>
  <c r="T264" i="1"/>
  <c r="T256" i="1"/>
  <c r="S255" i="1"/>
  <c r="T243" i="1"/>
  <c r="S241" i="1"/>
  <c r="T236" i="1"/>
  <c r="S233" i="1"/>
  <c r="T228" i="1"/>
  <c r="S225" i="1"/>
  <c r="T220" i="1"/>
  <c r="S299" i="1"/>
  <c r="T291" i="1"/>
  <c r="S277" i="1"/>
  <c r="S264" i="1"/>
  <c r="T259" i="1"/>
  <c r="T257" i="1"/>
  <c r="S256" i="1"/>
  <c r="T253" i="1"/>
  <c r="T250" i="1"/>
  <c r="T246" i="1"/>
  <c r="S243" i="1"/>
  <c r="T239" i="1"/>
  <c r="S236" i="1"/>
  <c r="T231" i="1"/>
  <c r="S228" i="1"/>
  <c r="S308" i="1"/>
  <c r="T273" i="1"/>
  <c r="S271" i="1"/>
  <c r="T268" i="1"/>
  <c r="S261" i="1"/>
  <c r="T249" i="1"/>
  <c r="S248" i="1"/>
  <c r="S245" i="1"/>
  <c r="T240" i="1"/>
  <c r="S237" i="1"/>
  <c r="T281" i="1"/>
  <c r="S311" i="1"/>
  <c r="T309" i="1"/>
  <c r="T288" i="1"/>
  <c r="S281" i="1"/>
  <c r="S268" i="1"/>
  <c r="S258" i="1"/>
  <c r="T244" i="1"/>
  <c r="S242" i="1"/>
  <c r="S234" i="1"/>
  <c r="S230" i="1"/>
  <c r="S227" i="1"/>
  <c r="T225" i="1"/>
  <c r="S224" i="1"/>
  <c r="S221" i="1"/>
  <c r="S218" i="1"/>
  <c r="T216" i="1"/>
  <c r="S213" i="1"/>
  <c r="T208" i="1"/>
  <c r="S205" i="1"/>
  <c r="T197" i="1"/>
  <c r="S194" i="1"/>
  <c r="S304" i="1"/>
  <c r="S294" i="1"/>
  <c r="T292" i="1"/>
  <c r="T262" i="1"/>
  <c r="T238" i="1"/>
  <c r="T235" i="1"/>
  <c r="T223" i="1"/>
  <c r="S216" i="1"/>
  <c r="T211" i="1"/>
  <c r="S208" i="1"/>
  <c r="T203" i="1"/>
  <c r="T200" i="1"/>
  <c r="S197" i="1"/>
  <c r="T192" i="1"/>
  <c r="S189" i="1"/>
  <c r="T184" i="1"/>
  <c r="S181" i="1"/>
  <c r="S302" i="1"/>
  <c r="S292" i="1"/>
  <c r="S300" i="1"/>
  <c r="S240" i="1"/>
  <c r="S217" i="1"/>
  <c r="T212" i="1"/>
  <c r="S209" i="1"/>
  <c r="T204" i="1"/>
  <c r="S201" i="1"/>
  <c r="S198" i="1"/>
  <c r="T193" i="1"/>
  <c r="S190" i="1"/>
  <c r="T185" i="1"/>
  <c r="S182" i="1"/>
  <c r="T280" i="1"/>
  <c r="T274" i="1"/>
  <c r="T270" i="1"/>
  <c r="T254" i="1"/>
  <c r="S251" i="1"/>
  <c r="S246" i="1"/>
  <c r="T245" i="1"/>
  <c r="T234" i="1"/>
  <c r="T218" i="1"/>
  <c r="S215" i="1"/>
  <c r="S211" i="1"/>
  <c r="S210" i="1"/>
  <c r="S207" i="1"/>
  <c r="S203" i="1"/>
  <c r="S202" i="1"/>
  <c r="T195" i="1"/>
  <c r="T194" i="1"/>
  <c r="S178" i="1"/>
  <c r="S259" i="1"/>
  <c r="T258" i="1"/>
  <c r="S254" i="1"/>
  <c r="S239" i="1"/>
  <c r="S195" i="1"/>
  <c r="T176" i="1"/>
  <c r="S173" i="1"/>
  <c r="T168" i="1"/>
  <c r="S165" i="1"/>
  <c r="T308" i="1"/>
  <c r="S291" i="1"/>
  <c r="T271" i="1"/>
  <c r="S238" i="1"/>
  <c r="T237" i="1"/>
  <c r="T232" i="1"/>
  <c r="T227" i="1"/>
  <c r="T224" i="1"/>
  <c r="S219" i="1"/>
  <c r="T217" i="1"/>
  <c r="T209" i="1"/>
  <c r="T201" i="1"/>
  <c r="S191" i="1"/>
  <c r="S187" i="1"/>
  <c r="T186" i="1"/>
  <c r="S185" i="1"/>
  <c r="T177" i="1"/>
  <c r="S174" i="1"/>
  <c r="T169" i="1"/>
  <c r="S166" i="1"/>
  <c r="T161" i="1"/>
  <c r="S158" i="1"/>
  <c r="S250" i="1"/>
  <c r="T233" i="1"/>
  <c r="T219" i="1"/>
  <c r="T196" i="1"/>
  <c r="S192" i="1"/>
  <c r="T190" i="1"/>
  <c r="S188" i="1"/>
  <c r="S179" i="1"/>
  <c r="T151" i="1"/>
  <c r="S148" i="1"/>
  <c r="T140" i="1"/>
  <c r="S137" i="1"/>
  <c r="T132" i="1"/>
  <c r="S129" i="1"/>
  <c r="T124" i="1"/>
  <c r="T242" i="1"/>
  <c r="T241" i="1"/>
  <c r="T213" i="1"/>
  <c r="S204" i="1"/>
  <c r="S200" i="1"/>
  <c r="S196" i="1"/>
  <c r="S186" i="1"/>
  <c r="S184" i="1"/>
  <c r="T180" i="1"/>
  <c r="T172" i="1"/>
  <c r="S161" i="1"/>
  <c r="T158" i="1"/>
  <c r="T155" i="1"/>
  <c r="S151" i="1"/>
  <c r="T146" i="1"/>
  <c r="T143" i="1"/>
  <c r="S140" i="1"/>
  <c r="T135" i="1"/>
  <c r="S132" i="1"/>
  <c r="T127" i="1"/>
  <c r="S124" i="1"/>
  <c r="T119" i="1"/>
  <c r="T116" i="1"/>
  <c r="S113" i="1"/>
  <c r="T108" i="1"/>
  <c r="S105" i="1"/>
  <c r="T100" i="1"/>
  <c r="T94" i="1"/>
  <c r="S91" i="1"/>
  <c r="T86" i="1"/>
  <c r="S83" i="1"/>
  <c r="T78" i="1"/>
  <c r="S75" i="1"/>
  <c r="T70" i="1"/>
  <c r="T251" i="1"/>
  <c r="S223" i="1"/>
  <c r="T206" i="1"/>
  <c r="T199" i="1"/>
  <c r="T191" i="1"/>
  <c r="T189" i="1"/>
  <c r="T187" i="1"/>
  <c r="S183" i="1"/>
  <c r="S177" i="1"/>
  <c r="S170" i="1"/>
  <c r="S168" i="1"/>
  <c r="T167" i="1"/>
  <c r="T166" i="1"/>
  <c r="T165" i="1"/>
  <c r="S164" i="1"/>
  <c r="T163" i="1"/>
  <c r="T160" i="1"/>
  <c r="S157" i="1"/>
  <c r="S154" i="1"/>
  <c r="S152" i="1"/>
  <c r="T147" i="1"/>
  <c r="S144" i="1"/>
  <c r="S141" i="1"/>
  <c r="T136" i="1"/>
  <c r="S133" i="1"/>
  <c r="T128" i="1"/>
  <c r="S125" i="1"/>
  <c r="T120" i="1"/>
  <c r="T117" i="1"/>
  <c r="S114" i="1"/>
  <c r="T109" i="1"/>
  <c r="S106" i="1"/>
  <c r="T101" i="1"/>
  <c r="T98" i="1"/>
  <c r="T95" i="1"/>
  <c r="S92" i="1"/>
  <c r="T87" i="1"/>
  <c r="S84" i="1"/>
  <c r="T79" i="1"/>
  <c r="S76" i="1"/>
  <c r="T71" i="1"/>
  <c r="S253" i="1"/>
  <c r="S229" i="1"/>
  <c r="T178" i="1"/>
  <c r="S160" i="1"/>
  <c r="S149" i="1"/>
  <c r="S247" i="1"/>
  <c r="T210" i="1"/>
  <c r="T174" i="1"/>
  <c r="T156" i="1"/>
  <c r="T153" i="1"/>
  <c r="T150" i="1"/>
  <c r="T145" i="1"/>
  <c r="T141" i="1"/>
  <c r="T133" i="1"/>
  <c r="T125" i="1"/>
  <c r="S110" i="1"/>
  <c r="S108" i="1"/>
  <c r="T107" i="1"/>
  <c r="T106" i="1"/>
  <c r="T105" i="1"/>
  <c r="S104" i="1"/>
  <c r="T103" i="1"/>
  <c r="T267" i="1"/>
  <c r="S231" i="1"/>
  <c r="T230" i="1"/>
  <c r="S220" i="1"/>
  <c r="S212" i="1"/>
  <c r="S206" i="1"/>
  <c r="T171" i="1"/>
  <c r="T215" i="1"/>
  <c r="T214" i="1"/>
  <c r="T205" i="1"/>
  <c r="T188" i="1"/>
  <c r="S176" i="1"/>
  <c r="S171" i="1"/>
  <c r="S169" i="1"/>
  <c r="T159" i="1"/>
  <c r="T154" i="1"/>
  <c r="T248" i="1"/>
  <c r="S232" i="1"/>
  <c r="T226" i="1"/>
  <c r="S222" i="1"/>
  <c r="T221" i="1"/>
  <c r="T182" i="1"/>
  <c r="T179" i="1"/>
  <c r="T164" i="1"/>
  <c r="S143" i="1"/>
  <c r="S142" i="1"/>
  <c r="S139" i="1"/>
  <c r="S135" i="1"/>
  <c r="S134" i="1"/>
  <c r="S131" i="1"/>
  <c r="S127" i="1"/>
  <c r="S126" i="1"/>
  <c r="S123" i="1"/>
  <c r="S121" i="1"/>
  <c r="S119" i="1"/>
  <c r="T97" i="1"/>
  <c r="S159" i="1"/>
  <c r="S130" i="1"/>
  <c r="T111" i="1"/>
  <c r="T104" i="1"/>
  <c r="T99" i="1"/>
  <c r="T91" i="1"/>
  <c r="S77" i="1"/>
  <c r="S73" i="1"/>
  <c r="T72" i="1"/>
  <c r="S71" i="1"/>
  <c r="T67" i="1"/>
  <c r="S64" i="1"/>
  <c r="T59" i="1"/>
  <c r="S56" i="1"/>
  <c r="S214" i="1"/>
  <c r="T183" i="1"/>
  <c r="T175" i="1"/>
  <c r="S167" i="1"/>
  <c r="T162" i="1"/>
  <c r="T148" i="1"/>
  <c r="S145" i="1"/>
  <c r="T122" i="1"/>
  <c r="T114" i="1"/>
  <c r="S111" i="1"/>
  <c r="S99" i="1"/>
  <c r="T96" i="1"/>
  <c r="S72" i="1"/>
  <c r="S67" i="1"/>
  <c r="T62" i="1"/>
  <c r="S59" i="1"/>
  <c r="T54" i="1"/>
  <c r="S51" i="1"/>
  <c r="T222" i="1"/>
  <c r="T181" i="1"/>
  <c r="S175" i="1"/>
  <c r="S163" i="1"/>
  <c r="S162" i="1"/>
  <c r="S147" i="1"/>
  <c r="S122" i="1"/>
  <c r="S117" i="1"/>
  <c r="T112" i="1"/>
  <c r="T102" i="1"/>
  <c r="S96" i="1"/>
  <c r="T92" i="1"/>
  <c r="S70" i="1"/>
  <c r="T65" i="1"/>
  <c r="S62" i="1"/>
  <c r="T57" i="1"/>
  <c r="S54" i="1"/>
  <c r="T49" i="1"/>
  <c r="S46" i="1"/>
  <c r="T41" i="1"/>
  <c r="S38" i="1"/>
  <c r="T33" i="1"/>
  <c r="S30" i="1"/>
  <c r="T25" i="1"/>
  <c r="S22" i="1"/>
  <c r="T17" i="1"/>
  <c r="S14" i="1"/>
  <c r="T9" i="1"/>
  <c r="S226" i="1"/>
  <c r="S199" i="1"/>
  <c r="T173" i="1"/>
  <c r="T142" i="1"/>
  <c r="S138" i="1"/>
  <c r="T121" i="1"/>
  <c r="S120" i="1"/>
  <c r="S112" i="1"/>
  <c r="S97" i="1"/>
  <c r="S93" i="1"/>
  <c r="S87" i="1"/>
  <c r="T83" i="1"/>
  <c r="T81" i="1"/>
  <c r="T74" i="1"/>
  <c r="S65" i="1"/>
  <c r="T198" i="1"/>
  <c r="T152" i="1"/>
  <c r="S150" i="1"/>
  <c r="T131" i="1"/>
  <c r="T123" i="1"/>
  <c r="S118" i="1"/>
  <c r="T115" i="1"/>
  <c r="S109" i="1"/>
  <c r="S95" i="1"/>
  <c r="S90" i="1"/>
  <c r="S88" i="1"/>
  <c r="S82" i="1"/>
  <c r="T80" i="1"/>
  <c r="T170" i="1"/>
  <c r="T138" i="1"/>
  <c r="T126" i="1"/>
  <c r="T118" i="1"/>
  <c r="S107" i="1"/>
  <c r="S94" i="1"/>
  <c r="T89" i="1"/>
  <c r="S81" i="1"/>
  <c r="T45" i="1"/>
  <c r="T42" i="1"/>
  <c r="T39" i="1"/>
  <c r="S36" i="1"/>
  <c r="S33" i="1"/>
  <c r="T30" i="1"/>
  <c r="T27" i="1"/>
  <c r="T24" i="1"/>
  <c r="S21" i="1"/>
  <c r="S18" i="1"/>
  <c r="S15" i="1"/>
  <c r="S235" i="1"/>
  <c r="T157" i="1"/>
  <c r="T144" i="1"/>
  <c r="T139" i="1"/>
  <c r="T134" i="1"/>
  <c r="S128" i="1"/>
  <c r="S101" i="1"/>
  <c r="S100" i="1"/>
  <c r="S98" i="1"/>
  <c r="T93" i="1"/>
  <c r="S89" i="1"/>
  <c r="S86" i="1"/>
  <c r="S79" i="1"/>
  <c r="T69" i="1"/>
  <c r="T64" i="1"/>
  <c r="T60" i="1"/>
  <c r="T48" i="1"/>
  <c r="S45" i="1"/>
  <c r="S42" i="1"/>
  <c r="S27" i="1"/>
  <c r="S24" i="1"/>
  <c r="T20" i="1"/>
  <c r="S39" i="1"/>
  <c r="T229" i="1"/>
  <c r="T130" i="1"/>
  <c r="S115" i="1"/>
  <c r="T76" i="1"/>
  <c r="T68" i="1"/>
  <c r="T63" i="1"/>
  <c r="S58" i="1"/>
  <c r="T52" i="1"/>
  <c r="S47" i="1"/>
  <c r="S35" i="1"/>
  <c r="S32" i="1"/>
  <c r="T28" i="1"/>
  <c r="T13" i="1"/>
  <c r="T10" i="1"/>
  <c r="S193" i="1"/>
  <c r="S153" i="1"/>
  <c r="S102" i="1"/>
  <c r="S85" i="1"/>
  <c r="S66" i="1"/>
  <c r="S53" i="1"/>
  <c r="T50" i="1"/>
  <c r="S48" i="1"/>
  <c r="T44" i="1"/>
  <c r="S43" i="1"/>
  <c r="T37" i="1"/>
  <c r="S28" i="1"/>
  <c r="T26" i="1"/>
  <c r="T16" i="1"/>
  <c r="S10" i="1"/>
  <c r="T88" i="1"/>
  <c r="S37" i="1"/>
  <c r="T21" i="1"/>
  <c r="S17" i="1"/>
  <c r="S16" i="1"/>
  <c r="T12" i="1"/>
  <c r="T11" i="1"/>
  <c r="S12" i="1"/>
  <c r="S49" i="1"/>
  <c r="S31" i="1"/>
  <c r="S29" i="1"/>
  <c r="T18" i="1"/>
  <c r="T38" i="1"/>
  <c r="T202" i="1"/>
  <c r="T84" i="1"/>
  <c r="T77" i="1"/>
  <c r="S68" i="1"/>
  <c r="S69" i="1"/>
  <c r="T55" i="1"/>
  <c r="T85" i="1"/>
  <c r="S74" i="1"/>
  <c r="T73" i="1"/>
  <c r="T66" i="1"/>
  <c r="S23" i="1"/>
  <c r="S156" i="1"/>
  <c r="T149" i="1"/>
  <c r="T75" i="1"/>
  <c r="S63" i="1"/>
  <c r="S52" i="1"/>
  <c r="S50" i="1"/>
  <c r="T46" i="1"/>
  <c r="S44" i="1"/>
  <c r="T35" i="1"/>
  <c r="S26" i="1"/>
  <c r="T61" i="1"/>
  <c r="T58" i="1"/>
  <c r="T113" i="1"/>
  <c r="S55" i="1"/>
  <c r="T53" i="1"/>
  <c r="S172" i="1"/>
  <c r="T137" i="1"/>
  <c r="T129" i="1"/>
  <c r="T82" i="1"/>
  <c r="S80" i="1"/>
  <c r="S60" i="1"/>
  <c r="T31" i="1"/>
  <c r="T29" i="1"/>
  <c r="S11" i="1"/>
  <c r="T207" i="1"/>
  <c r="S103" i="1"/>
  <c r="T90" i="1"/>
  <c r="S57" i="1"/>
  <c r="T22" i="1"/>
  <c r="T19" i="1"/>
  <c r="S13" i="1"/>
  <c r="T14" i="1"/>
  <c r="S155" i="1"/>
  <c r="S116" i="1"/>
  <c r="T110" i="1"/>
  <c r="S78" i="1"/>
  <c r="T51" i="1"/>
  <c r="S34" i="1"/>
  <c r="S25" i="1"/>
  <c r="T23" i="1"/>
  <c r="S9" i="1"/>
  <c r="S146" i="1"/>
  <c r="S136" i="1"/>
  <c r="T15" i="1"/>
  <c r="S180" i="1"/>
  <c r="S61" i="1"/>
  <c r="T47" i="1"/>
  <c r="T40" i="1"/>
  <c r="S40" i="1"/>
  <c r="T36" i="1"/>
  <c r="T34" i="1"/>
  <c r="S20" i="1"/>
  <c r="S19" i="1"/>
  <c r="T32" i="1"/>
  <c r="T56" i="1"/>
  <c r="T43" i="1"/>
  <c r="S41" i="1"/>
  <c r="X311" i="1"/>
  <c r="W308" i="1"/>
  <c r="X305" i="1"/>
  <c r="X302" i="1"/>
  <c r="W299" i="1"/>
  <c r="X294" i="1"/>
  <c r="W291" i="1"/>
  <c r="W287" i="1"/>
  <c r="X314" i="1"/>
  <c r="W311" i="1"/>
  <c r="W305" i="1"/>
  <c r="W302" i="1"/>
  <c r="X297" i="1"/>
  <c r="W294" i="1"/>
  <c r="X288" i="1"/>
  <c r="W314" i="1"/>
  <c r="X309" i="1"/>
  <c r="X306" i="1"/>
  <c r="X300" i="1"/>
  <c r="W297" i="1"/>
  <c r="X292" i="1"/>
  <c r="W288" i="1"/>
  <c r="W284" i="1"/>
  <c r="X281" i="1"/>
  <c r="W307" i="1"/>
  <c r="W298" i="1"/>
  <c r="X290" i="1"/>
  <c r="X289" i="1"/>
  <c r="X283" i="1"/>
  <c r="X312" i="1"/>
  <c r="X308" i="1"/>
  <c r="X303" i="1"/>
  <c r="X299" i="1"/>
  <c r="X295" i="1"/>
  <c r="X291" i="1"/>
  <c r="W290" i="1"/>
  <c r="W289" i="1"/>
  <c r="W283" i="1"/>
  <c r="X280" i="1"/>
  <c r="W278" i="1"/>
  <c r="X273" i="1"/>
  <c r="W270" i="1"/>
  <c r="W310" i="1"/>
  <c r="W306" i="1"/>
  <c r="W303" i="1"/>
  <c r="W293" i="1"/>
  <c r="X284" i="1"/>
  <c r="W275" i="1"/>
  <c r="W266" i="1"/>
  <c r="X261" i="1"/>
  <c r="W312" i="1"/>
  <c r="W300" i="1"/>
  <c r="X298" i="1"/>
  <c r="W295" i="1"/>
  <c r="X285" i="1"/>
  <c r="X277" i="1"/>
  <c r="X274" i="1"/>
  <c r="X271" i="1"/>
  <c r="X268" i="1"/>
  <c r="X264" i="1"/>
  <c r="W261" i="1"/>
  <c r="X256" i="1"/>
  <c r="W253" i="1"/>
  <c r="X248" i="1"/>
  <c r="W309" i="1"/>
  <c r="X307" i="1"/>
  <c r="W292" i="1"/>
  <c r="X287" i="1"/>
  <c r="W285" i="1"/>
  <c r="W277" i="1"/>
  <c r="W274" i="1"/>
  <c r="W271" i="1"/>
  <c r="W268" i="1"/>
  <c r="W264" i="1"/>
  <c r="X259" i="1"/>
  <c r="W256" i="1"/>
  <c r="X251" i="1"/>
  <c r="W248" i="1"/>
  <c r="X243" i="1"/>
  <c r="X262" i="1"/>
  <c r="W259" i="1"/>
  <c r="X276" i="1"/>
  <c r="W273" i="1"/>
  <c r="X270" i="1"/>
  <c r="X267" i="1"/>
  <c r="X265" i="1"/>
  <c r="W262" i="1"/>
  <c r="W313" i="1"/>
  <c r="W301" i="1"/>
  <c r="X293" i="1"/>
  <c r="X279" i="1"/>
  <c r="X278" i="1"/>
  <c r="X263" i="1"/>
  <c r="W250" i="1"/>
  <c r="X249" i="1"/>
  <c r="X245" i="1"/>
  <c r="W242" i="1"/>
  <c r="X240" i="1"/>
  <c r="W237" i="1"/>
  <c r="X232" i="1"/>
  <c r="W229" i="1"/>
  <c r="X224" i="1"/>
  <c r="W221" i="1"/>
  <c r="W281" i="1"/>
  <c r="W280" i="1"/>
  <c r="W279" i="1"/>
  <c r="W276" i="1"/>
  <c r="X275" i="1"/>
  <c r="X272" i="1"/>
  <c r="W263" i="1"/>
  <c r="W249" i="1"/>
  <c r="W245" i="1"/>
  <c r="W240" i="1"/>
  <c r="X235" i="1"/>
  <c r="W232" i="1"/>
  <c r="X227" i="1"/>
  <c r="W224" i="1"/>
  <c r="X282" i="1"/>
  <c r="W267" i="1"/>
  <c r="X266" i="1"/>
  <c r="X260" i="1"/>
  <c r="X258" i="1"/>
  <c r="W241" i="1"/>
  <c r="X236" i="1"/>
  <c r="W233" i="1"/>
  <c r="X304" i="1"/>
  <c r="X301" i="1"/>
  <c r="W296" i="1"/>
  <c r="W304" i="1"/>
  <c r="X269" i="1"/>
  <c r="X254" i="1"/>
  <c r="W247" i="1"/>
  <c r="W239" i="1"/>
  <c r="W217" i="1"/>
  <c r="X212" i="1"/>
  <c r="W209" i="1"/>
  <c r="X204" i="1"/>
  <c r="W201" i="1"/>
  <c r="W198" i="1"/>
  <c r="X193" i="1"/>
  <c r="X286" i="1"/>
  <c r="W272" i="1"/>
  <c r="W269" i="1"/>
  <c r="X257" i="1"/>
  <c r="W254" i="1"/>
  <c r="W251" i="1"/>
  <c r="W236" i="1"/>
  <c r="X222" i="1"/>
  <c r="X219" i="1"/>
  <c r="X215" i="1"/>
  <c r="W212" i="1"/>
  <c r="X207" i="1"/>
  <c r="W204" i="1"/>
  <c r="X196" i="1"/>
  <c r="W193" i="1"/>
  <c r="X188" i="1"/>
  <c r="W185" i="1"/>
  <c r="X180" i="1"/>
  <c r="W286" i="1"/>
  <c r="W265" i="1"/>
  <c r="X253" i="1"/>
  <c r="X250" i="1"/>
  <c r="X246" i="1"/>
  <c r="X241" i="1"/>
  <c r="X237" i="1"/>
  <c r="W230" i="1"/>
  <c r="X229" i="1"/>
  <c r="W228" i="1"/>
  <c r="W227" i="1"/>
  <c r="X226" i="1"/>
  <c r="X225" i="1"/>
  <c r="X221" i="1"/>
  <c r="X218" i="1"/>
  <c r="X216" i="1"/>
  <c r="W213" i="1"/>
  <c r="X208" i="1"/>
  <c r="W205" i="1"/>
  <c r="X197" i="1"/>
  <c r="W194" i="1"/>
  <c r="X189" i="1"/>
  <c r="W186" i="1"/>
  <c r="X181" i="1"/>
  <c r="W258" i="1"/>
  <c r="W257" i="1"/>
  <c r="W255" i="1"/>
  <c r="W244" i="1"/>
  <c r="W243" i="1"/>
  <c r="X239" i="1"/>
  <c r="X233" i="1"/>
  <c r="X230" i="1"/>
  <c r="W225" i="1"/>
  <c r="X200" i="1"/>
  <c r="W199" i="1"/>
  <c r="W196" i="1"/>
  <c r="X192" i="1"/>
  <c r="X191" i="1"/>
  <c r="X190" i="1"/>
  <c r="W189" i="1"/>
  <c r="W188" i="1"/>
  <c r="X187" i="1"/>
  <c r="X177" i="1"/>
  <c r="W282" i="1"/>
  <c r="W260" i="1"/>
  <c r="W219" i="1"/>
  <c r="W200" i="1"/>
  <c r="W192" i="1"/>
  <c r="W191" i="1"/>
  <c r="W190" i="1"/>
  <c r="W187" i="1"/>
  <c r="X186" i="1"/>
  <c r="X185" i="1"/>
  <c r="X184" i="1"/>
  <c r="W177" i="1"/>
  <c r="X172" i="1"/>
  <c r="W169" i="1"/>
  <c r="X164" i="1"/>
  <c r="X310" i="1"/>
  <c r="X231" i="1"/>
  <c r="W220" i="1"/>
  <c r="W214" i="1"/>
  <c r="X210" i="1"/>
  <c r="W206" i="1"/>
  <c r="X202" i="1"/>
  <c r="W178" i="1"/>
  <c r="X173" i="1"/>
  <c r="W170" i="1"/>
  <c r="X165" i="1"/>
  <c r="W162" i="1"/>
  <c r="X157" i="1"/>
  <c r="W154" i="1"/>
  <c r="X242" i="1"/>
  <c r="X234" i="1"/>
  <c r="W218" i="1"/>
  <c r="X217" i="1"/>
  <c r="X203" i="1"/>
  <c r="W176" i="1"/>
  <c r="W175" i="1"/>
  <c r="W174" i="1"/>
  <c r="W171" i="1"/>
  <c r="X170" i="1"/>
  <c r="X169" i="1"/>
  <c r="X168" i="1"/>
  <c r="X160" i="1"/>
  <c r="W157" i="1"/>
  <c r="X154" i="1"/>
  <c r="W152" i="1"/>
  <c r="X147" i="1"/>
  <c r="W144" i="1"/>
  <c r="W141" i="1"/>
  <c r="X136" i="1"/>
  <c r="W133" i="1"/>
  <c r="X128" i="1"/>
  <c r="W125" i="1"/>
  <c r="X247" i="1"/>
  <c r="W234" i="1"/>
  <c r="W208" i="1"/>
  <c r="W207" i="1"/>
  <c r="W203" i="1"/>
  <c r="X195" i="1"/>
  <c r="X183" i="1"/>
  <c r="W168" i="1"/>
  <c r="X167" i="1"/>
  <c r="X166" i="1"/>
  <c r="W165" i="1"/>
  <c r="W164" i="1"/>
  <c r="X163" i="1"/>
  <c r="W160" i="1"/>
  <c r="X150" i="1"/>
  <c r="W147" i="1"/>
  <c r="X139" i="1"/>
  <c r="W136" i="1"/>
  <c r="X131" i="1"/>
  <c r="W128" i="1"/>
  <c r="X123" i="1"/>
  <c r="W120" i="1"/>
  <c r="W117" i="1"/>
  <c r="X112" i="1"/>
  <c r="W109" i="1"/>
  <c r="X104" i="1"/>
  <c r="W101" i="1"/>
  <c r="W98" i="1"/>
  <c r="W95" i="1"/>
  <c r="X90" i="1"/>
  <c r="W87" i="1"/>
  <c r="X82" i="1"/>
  <c r="W79" i="1"/>
  <c r="X74" i="1"/>
  <c r="W71" i="1"/>
  <c r="X313" i="1"/>
  <c r="W222" i="1"/>
  <c r="X201" i="1"/>
  <c r="W197" i="1"/>
  <c r="W182" i="1"/>
  <c r="X178" i="1"/>
  <c r="W159" i="1"/>
  <c r="X151" i="1"/>
  <c r="W148" i="1"/>
  <c r="X140" i="1"/>
  <c r="W137" i="1"/>
  <c r="X132" i="1"/>
  <c r="W129" i="1"/>
  <c r="X124" i="1"/>
  <c r="W121" i="1"/>
  <c r="W118" i="1"/>
  <c r="X113" i="1"/>
  <c r="W110" i="1"/>
  <c r="X105" i="1"/>
  <c r="W102" i="1"/>
  <c r="W96" i="1"/>
  <c r="X91" i="1"/>
  <c r="W88" i="1"/>
  <c r="X83" i="1"/>
  <c r="W80" i="1"/>
  <c r="X75" i="1"/>
  <c r="W72" i="1"/>
  <c r="X255" i="1"/>
  <c r="W238" i="1"/>
  <c r="X174" i="1"/>
  <c r="W163" i="1"/>
  <c r="X161" i="1"/>
  <c r="W156" i="1"/>
  <c r="W231" i="1"/>
  <c r="X220" i="1"/>
  <c r="X206" i="1"/>
  <c r="X205" i="1"/>
  <c r="W195" i="1"/>
  <c r="X171" i="1"/>
  <c r="W161" i="1"/>
  <c r="X159" i="1"/>
  <c r="W151" i="1"/>
  <c r="X142" i="1"/>
  <c r="W138" i="1"/>
  <c r="X134" i="1"/>
  <c r="W130" i="1"/>
  <c r="X126" i="1"/>
  <c r="W122" i="1"/>
  <c r="X121" i="1"/>
  <c r="X120" i="1"/>
  <c r="X119" i="1"/>
  <c r="W99" i="1"/>
  <c r="X98" i="1"/>
  <c r="W215" i="1"/>
  <c r="X214" i="1"/>
  <c r="X213" i="1"/>
  <c r="X176" i="1"/>
  <c r="W167" i="1"/>
  <c r="X296" i="1"/>
  <c r="X198" i="1"/>
  <c r="W180" i="1"/>
  <c r="X179" i="1"/>
  <c r="W173" i="1"/>
  <c r="W252" i="1"/>
  <c r="W235" i="1"/>
  <c r="W223" i="1"/>
  <c r="X199" i="1"/>
  <c r="X175" i="1"/>
  <c r="W166" i="1"/>
  <c r="X158" i="1"/>
  <c r="W155" i="1"/>
  <c r="X149" i="1"/>
  <c r="W115" i="1"/>
  <c r="W114" i="1"/>
  <c r="W111" i="1"/>
  <c r="X110" i="1"/>
  <c r="X109" i="1"/>
  <c r="X108" i="1"/>
  <c r="X228" i="1"/>
  <c r="W183" i="1"/>
  <c r="X162" i="1"/>
  <c r="W132" i="1"/>
  <c r="X117" i="1"/>
  <c r="X102" i="1"/>
  <c r="X100" i="1"/>
  <c r="W92" i="1"/>
  <c r="W68" i="1"/>
  <c r="X63" i="1"/>
  <c r="W60" i="1"/>
  <c r="X55" i="1"/>
  <c r="W216" i="1"/>
  <c r="W210" i="1"/>
  <c r="W181" i="1"/>
  <c r="W179" i="1"/>
  <c r="W142" i="1"/>
  <c r="W139" i="1"/>
  <c r="X137" i="1"/>
  <c r="W124" i="1"/>
  <c r="W112" i="1"/>
  <c r="W100" i="1"/>
  <c r="X97" i="1"/>
  <c r="X93" i="1"/>
  <c r="X89" i="1"/>
  <c r="X88" i="1"/>
  <c r="X87" i="1"/>
  <c r="X86" i="1"/>
  <c r="X66" i="1"/>
  <c r="W63" i="1"/>
  <c r="X58" i="1"/>
  <c r="W55" i="1"/>
  <c r="X50" i="1"/>
  <c r="W202" i="1"/>
  <c r="W172" i="1"/>
  <c r="X144" i="1"/>
  <c r="W134" i="1"/>
  <c r="W131" i="1"/>
  <c r="X129" i="1"/>
  <c r="X115" i="1"/>
  <c r="X107" i="1"/>
  <c r="W105" i="1"/>
  <c r="W97" i="1"/>
  <c r="X94" i="1"/>
  <c r="W93" i="1"/>
  <c r="W89" i="1"/>
  <c r="W86" i="1"/>
  <c r="X85" i="1"/>
  <c r="X84" i="1"/>
  <c r="W83" i="1"/>
  <c r="W82" i="1"/>
  <c r="X81" i="1"/>
  <c r="X69" i="1"/>
  <c r="W66" i="1"/>
  <c r="X61" i="1"/>
  <c r="W58" i="1"/>
  <c r="X53" i="1"/>
  <c r="W50" i="1"/>
  <c r="X45" i="1"/>
  <c r="W42" i="1"/>
  <c r="X37" i="1"/>
  <c r="W34" i="1"/>
  <c r="X29" i="1"/>
  <c r="W26" i="1"/>
  <c r="X21" i="1"/>
  <c r="W18" i="1"/>
  <c r="X13" i="1"/>
  <c r="W10" i="1"/>
  <c r="X223" i="1"/>
  <c r="X211" i="1"/>
  <c r="X209" i="1"/>
  <c r="X194" i="1"/>
  <c r="W158" i="1"/>
  <c r="X145" i="1"/>
  <c r="W140" i="1"/>
  <c r="X101" i="1"/>
  <c r="W85" i="1"/>
  <c r="X77" i="1"/>
  <c r="X73" i="1"/>
  <c r="X70" i="1"/>
  <c r="X62" i="1"/>
  <c r="W57" i="1"/>
  <c r="X238" i="1"/>
  <c r="X155" i="1"/>
  <c r="X153" i="1"/>
  <c r="W126" i="1"/>
  <c r="W107" i="1"/>
  <c r="X99" i="1"/>
  <c r="X182" i="1"/>
  <c r="X152" i="1"/>
  <c r="X148" i="1"/>
  <c r="W143" i="1"/>
  <c r="X127" i="1"/>
  <c r="W108" i="1"/>
  <c r="W78" i="1"/>
  <c r="X71" i="1"/>
  <c r="W67" i="1"/>
  <c r="X60" i="1"/>
  <c r="X47" i="1"/>
  <c r="W44" i="1"/>
  <c r="W41" i="1"/>
  <c r="W38" i="1"/>
  <c r="W35" i="1"/>
  <c r="W32" i="1"/>
  <c r="W23" i="1"/>
  <c r="W226" i="1"/>
  <c r="W149" i="1"/>
  <c r="X146" i="1"/>
  <c r="X135" i="1"/>
  <c r="W127" i="1"/>
  <c r="W123" i="1"/>
  <c r="W119" i="1"/>
  <c r="W113" i="1"/>
  <c r="X111" i="1"/>
  <c r="X103" i="1"/>
  <c r="X96" i="1"/>
  <c r="X92" i="1"/>
  <c r="W84" i="1"/>
  <c r="W77" i="1"/>
  <c r="X76" i="1"/>
  <c r="X65" i="1"/>
  <c r="W47" i="1"/>
  <c r="X28" i="1"/>
  <c r="X25" i="1"/>
  <c r="X22" i="1"/>
  <c r="X244" i="1"/>
  <c r="W150" i="1"/>
  <c r="X116" i="1"/>
  <c r="X114" i="1"/>
  <c r="W74" i="1"/>
  <c r="W61" i="1"/>
  <c r="X59" i="1"/>
  <c r="X56" i="1"/>
  <c r="W54" i="1"/>
  <c r="W51" i="1"/>
  <c r="W49" i="1"/>
  <c r="X36" i="1"/>
  <c r="X33" i="1"/>
  <c r="X30" i="1"/>
  <c r="X27" i="1"/>
  <c r="X24" i="1"/>
  <c r="W21" i="1"/>
  <c r="X18" i="1"/>
  <c r="X15" i="1"/>
  <c r="W12" i="1"/>
  <c r="W9" i="1"/>
  <c r="W211" i="1"/>
  <c r="X156" i="1"/>
  <c r="X64" i="1"/>
  <c r="W62" i="1"/>
  <c r="W52" i="1"/>
  <c r="W33" i="1"/>
  <c r="X31" i="1"/>
  <c r="W90" i="1"/>
  <c r="W76" i="1"/>
  <c r="X49" i="1"/>
  <c r="W31" i="1"/>
  <c r="W29" i="1"/>
  <c r="W24" i="1"/>
  <c r="W22" i="1"/>
  <c r="X14" i="1"/>
  <c r="W94" i="1"/>
  <c r="X20" i="1"/>
  <c r="X252" i="1"/>
  <c r="X143" i="1"/>
  <c r="X138" i="1"/>
  <c r="X133" i="1"/>
  <c r="W73" i="1"/>
  <c r="X48" i="1"/>
  <c r="X23" i="1"/>
  <c r="X11" i="1"/>
  <c r="X52" i="1"/>
  <c r="X35" i="1"/>
  <c r="X80" i="1"/>
  <c r="W64" i="1"/>
  <c r="W59" i="1"/>
  <c r="X42" i="1"/>
  <c r="X40" i="1"/>
  <c r="X19" i="1"/>
  <c r="W13" i="1"/>
  <c r="X38" i="1"/>
  <c r="W36" i="1"/>
  <c r="X34" i="1"/>
  <c r="W27" i="1"/>
  <c r="X72" i="1"/>
  <c r="X43" i="1"/>
  <c r="W246" i="1"/>
  <c r="W116" i="1"/>
  <c r="X78" i="1"/>
  <c r="W69" i="1"/>
  <c r="W53" i="1"/>
  <c r="W43" i="1"/>
  <c r="X41" i="1"/>
  <c r="W30" i="1"/>
  <c r="X16" i="1"/>
  <c r="W15" i="1"/>
  <c r="X10" i="1"/>
  <c r="X79" i="1"/>
  <c r="W46" i="1"/>
  <c r="X44" i="1"/>
  <c r="W17" i="1"/>
  <c r="X12" i="1"/>
  <c r="W11" i="1"/>
  <c r="X118" i="1"/>
  <c r="W103" i="1"/>
  <c r="W81" i="1"/>
  <c r="W70" i="1"/>
  <c r="W40" i="1"/>
  <c r="W19" i="1"/>
  <c r="W184" i="1"/>
  <c r="W135" i="1"/>
  <c r="X106" i="1"/>
  <c r="X57" i="1"/>
  <c r="X51" i="1"/>
  <c r="W45" i="1"/>
  <c r="W14" i="1"/>
  <c r="X9" i="1"/>
  <c r="X54" i="1"/>
  <c r="X32" i="1"/>
  <c r="W25" i="1"/>
  <c r="W20" i="1"/>
  <c r="W146" i="1"/>
  <c r="X141" i="1"/>
  <c r="X130" i="1"/>
  <c r="X125" i="1"/>
  <c r="X122" i="1"/>
  <c r="W104" i="1"/>
  <c r="W91" i="1"/>
  <c r="X67" i="1"/>
  <c r="W65" i="1"/>
  <c r="W48" i="1"/>
  <c r="X46" i="1"/>
  <c r="X39" i="1"/>
  <c r="W37" i="1"/>
  <c r="W28" i="1"/>
  <c r="X17" i="1"/>
  <c r="W16" i="1"/>
  <c r="W153" i="1"/>
  <c r="X26" i="1"/>
  <c r="W145" i="1"/>
  <c r="W106" i="1"/>
  <c r="X68" i="1"/>
  <c r="W56" i="1"/>
  <c r="X95" i="1"/>
  <c r="W75" i="1"/>
  <c r="W39" i="1"/>
  <c r="X3" i="1" l="1"/>
  <c r="V3" i="1"/>
  <c r="T3" i="1"/>
  <c r="AD313" i="1"/>
  <c r="AC310" i="1"/>
  <c r="AD304" i="1"/>
  <c r="AC301" i="1"/>
  <c r="AD296" i="1"/>
  <c r="AC293" i="1"/>
  <c r="AC290" i="1"/>
  <c r="AC286" i="1"/>
  <c r="AC313" i="1"/>
  <c r="AD308" i="1"/>
  <c r="AC304" i="1"/>
  <c r="AD299" i="1"/>
  <c r="AC296" i="1"/>
  <c r="AD291" i="1"/>
  <c r="AD287" i="1"/>
  <c r="AD311" i="1"/>
  <c r="AC308" i="1"/>
  <c r="AD305" i="1"/>
  <c r="AD302" i="1"/>
  <c r="AC299" i="1"/>
  <c r="AD294" i="1"/>
  <c r="AC291" i="1"/>
  <c r="AC287" i="1"/>
  <c r="AC283" i="1"/>
  <c r="AC280" i="1"/>
  <c r="AC309" i="1"/>
  <c r="AC300" i="1"/>
  <c r="AC292" i="1"/>
  <c r="AC282" i="1"/>
  <c r="AD314" i="1"/>
  <c r="AD310" i="1"/>
  <c r="AC305" i="1"/>
  <c r="AD301" i="1"/>
  <c r="AD297" i="1"/>
  <c r="AD293" i="1"/>
  <c r="AD281" i="1"/>
  <c r="AD275" i="1"/>
  <c r="AC272" i="1"/>
  <c r="AD267" i="1"/>
  <c r="AC312" i="1"/>
  <c r="AD309" i="1"/>
  <c r="AC307" i="1"/>
  <c r="AC295" i="1"/>
  <c r="AD292" i="1"/>
  <c r="AD290" i="1"/>
  <c r="AC281" i="1"/>
  <c r="AD280" i="1"/>
  <c r="AC276" i="1"/>
  <c r="AD263" i="1"/>
  <c r="AC260" i="1"/>
  <c r="AC314" i="1"/>
  <c r="AC302" i="1"/>
  <c r="AC297" i="1"/>
  <c r="AD279" i="1"/>
  <c r="AD278" i="1"/>
  <c r="AD272" i="1"/>
  <c r="AD269" i="1"/>
  <c r="AD266" i="1"/>
  <c r="AC263" i="1"/>
  <c r="AD258" i="1"/>
  <c r="AC255" i="1"/>
  <c r="AD250" i="1"/>
  <c r="AC311" i="1"/>
  <c r="AC294" i="1"/>
  <c r="AD288" i="1"/>
  <c r="AD286" i="1"/>
  <c r="AD283" i="1"/>
  <c r="AC279" i="1"/>
  <c r="AC278" i="1"/>
  <c r="AC275" i="1"/>
  <c r="AC269" i="1"/>
  <c r="AC266" i="1"/>
  <c r="AD261" i="1"/>
  <c r="AC258" i="1"/>
  <c r="AD253" i="1"/>
  <c r="AC250" i="1"/>
  <c r="AD245" i="1"/>
  <c r="AC242" i="1"/>
  <c r="AC288" i="1"/>
  <c r="AD284" i="1"/>
  <c r="AD282" i="1"/>
  <c r="AD264" i="1"/>
  <c r="AC261" i="1"/>
  <c r="AD306" i="1"/>
  <c r="AC284" i="1"/>
  <c r="AD277" i="1"/>
  <c r="AD274" i="1"/>
  <c r="AD271" i="1"/>
  <c r="AD268" i="1"/>
  <c r="AC264" i="1"/>
  <c r="AD259" i="1"/>
  <c r="AD298" i="1"/>
  <c r="AD276" i="1"/>
  <c r="AD273" i="1"/>
  <c r="AC271" i="1"/>
  <c r="AD262" i="1"/>
  <c r="AD256" i="1"/>
  <c r="AD246" i="1"/>
  <c r="AC243" i="1"/>
  <c r="AC239" i="1"/>
  <c r="AD234" i="1"/>
  <c r="AC231" i="1"/>
  <c r="AD226" i="1"/>
  <c r="AC223" i="1"/>
  <c r="AD218" i="1"/>
  <c r="AC298" i="1"/>
  <c r="AC273" i="1"/>
  <c r="AD270" i="1"/>
  <c r="AC268" i="1"/>
  <c r="AC262" i="1"/>
  <c r="AD257" i="1"/>
  <c r="AC256" i="1"/>
  <c r="AD255" i="1"/>
  <c r="AC246" i="1"/>
  <c r="AD237" i="1"/>
  <c r="AC234" i="1"/>
  <c r="AD229" i="1"/>
  <c r="AC226" i="1"/>
  <c r="AC303" i="1"/>
  <c r="AD265" i="1"/>
  <c r="AC259" i="1"/>
  <c r="AD249" i="1"/>
  <c r="AC248" i="1"/>
  <c r="AD238" i="1"/>
  <c r="AC235" i="1"/>
  <c r="AC306" i="1"/>
  <c r="AD285" i="1"/>
  <c r="AC285" i="1"/>
  <c r="AC253" i="1"/>
  <c r="AD248" i="1"/>
  <c r="AD241" i="1"/>
  <c r="AC237" i="1"/>
  <c r="AC233" i="1"/>
  <c r="AC230" i="1"/>
  <c r="AC228" i="1"/>
  <c r="AC227" i="1"/>
  <c r="AD225" i="1"/>
  <c r="AC224" i="1"/>
  <c r="AD214" i="1"/>
  <c r="AC211" i="1"/>
  <c r="AD206" i="1"/>
  <c r="AC203" i="1"/>
  <c r="AC200" i="1"/>
  <c r="AD195" i="1"/>
  <c r="AC192" i="1"/>
  <c r="AD312" i="1"/>
  <c r="AD307" i="1"/>
  <c r="AD289" i="1"/>
  <c r="AC241" i="1"/>
  <c r="AC225" i="1"/>
  <c r="AD223" i="1"/>
  <c r="AD220" i="1"/>
  <c r="AD217" i="1"/>
  <c r="AC214" i="1"/>
  <c r="AD209" i="1"/>
  <c r="AC206" i="1"/>
  <c r="AD201" i="1"/>
  <c r="AD198" i="1"/>
  <c r="AC195" i="1"/>
  <c r="AD190" i="1"/>
  <c r="AC187" i="1"/>
  <c r="AD182" i="1"/>
  <c r="AC289" i="1"/>
  <c r="AD260" i="1"/>
  <c r="AD247" i="1"/>
  <c r="AD239" i="1"/>
  <c r="AD222" i="1"/>
  <c r="AD219" i="1"/>
  <c r="AC215" i="1"/>
  <c r="AD210" i="1"/>
  <c r="AC207" i="1"/>
  <c r="AD202" i="1"/>
  <c r="AD199" i="1"/>
  <c r="AC196" i="1"/>
  <c r="AD191" i="1"/>
  <c r="AC188" i="1"/>
  <c r="AD183" i="1"/>
  <c r="AC180" i="1"/>
  <c r="AC265" i="1"/>
  <c r="AC238" i="1"/>
  <c r="AD236" i="1"/>
  <c r="AC232" i="1"/>
  <c r="AC222" i="1"/>
  <c r="AC220" i="1"/>
  <c r="AD179" i="1"/>
  <c r="AC176" i="1"/>
  <c r="AC236" i="1"/>
  <c r="AC229" i="1"/>
  <c r="AD215" i="1"/>
  <c r="AC210" i="1"/>
  <c r="AD207" i="1"/>
  <c r="AC202" i="1"/>
  <c r="AC198" i="1"/>
  <c r="AD194" i="1"/>
  <c r="AC179" i="1"/>
  <c r="AD174" i="1"/>
  <c r="AC171" i="1"/>
  <c r="AD166" i="1"/>
  <c r="AC163" i="1"/>
  <c r="AD303" i="1"/>
  <c r="AD252" i="1"/>
  <c r="AD251" i="1"/>
  <c r="AC247" i="1"/>
  <c r="AD228" i="1"/>
  <c r="AD221" i="1"/>
  <c r="AC216" i="1"/>
  <c r="AC212" i="1"/>
  <c r="AC208" i="1"/>
  <c r="AC204" i="1"/>
  <c r="AC199" i="1"/>
  <c r="AD196" i="1"/>
  <c r="AC191" i="1"/>
  <c r="AC190" i="1"/>
  <c r="AC189" i="1"/>
  <c r="AD187" i="1"/>
  <c r="AD186" i="1"/>
  <c r="AD185" i="1"/>
  <c r="AD175" i="1"/>
  <c r="AC172" i="1"/>
  <c r="AD167" i="1"/>
  <c r="AC164" i="1"/>
  <c r="AD159" i="1"/>
  <c r="AC156" i="1"/>
  <c r="AD295" i="1"/>
  <c r="AD235" i="1"/>
  <c r="AD216" i="1"/>
  <c r="AD211" i="1"/>
  <c r="AC194" i="1"/>
  <c r="AC185" i="1"/>
  <c r="AD178" i="1"/>
  <c r="AD161" i="1"/>
  <c r="AD158" i="1"/>
  <c r="AD155" i="1"/>
  <c r="AD149" i="1"/>
  <c r="AC146" i="1"/>
  <c r="AC143" i="1"/>
  <c r="AD138" i="1"/>
  <c r="AC135" i="1"/>
  <c r="AD130" i="1"/>
  <c r="AC127" i="1"/>
  <c r="AD122" i="1"/>
  <c r="AD300" i="1"/>
  <c r="AD244" i="1"/>
  <c r="AD243" i="1"/>
  <c r="AD224" i="1"/>
  <c r="AD193" i="1"/>
  <c r="AC182" i="1"/>
  <c r="AC178" i="1"/>
  <c r="AC161" i="1"/>
  <c r="AC158" i="1"/>
  <c r="AC155" i="1"/>
  <c r="AD152" i="1"/>
  <c r="AC149" i="1"/>
  <c r="AD144" i="1"/>
  <c r="AD141" i="1"/>
  <c r="AC138" i="1"/>
  <c r="AD133" i="1"/>
  <c r="AC130" i="1"/>
  <c r="AD125" i="1"/>
  <c r="AC122" i="1"/>
  <c r="AD114" i="1"/>
  <c r="AC111" i="1"/>
  <c r="AD106" i="1"/>
  <c r="AC103" i="1"/>
  <c r="AC97" i="1"/>
  <c r="AD92" i="1"/>
  <c r="AC89" i="1"/>
  <c r="AD84" i="1"/>
  <c r="AC81" i="1"/>
  <c r="AD76" i="1"/>
  <c r="AC73" i="1"/>
  <c r="AC254" i="1"/>
  <c r="AC267" i="1"/>
  <c r="AD232" i="1"/>
  <c r="AD230" i="1"/>
  <c r="AD227" i="1"/>
  <c r="AC221" i="1"/>
  <c r="AC209" i="1"/>
  <c r="AC205" i="1"/>
  <c r="AD192" i="1"/>
  <c r="AC186" i="1"/>
  <c r="AD184" i="1"/>
  <c r="AD180" i="1"/>
  <c r="AD176" i="1"/>
  <c r="AC170" i="1"/>
  <c r="AC169" i="1"/>
  <c r="AD168" i="1"/>
  <c r="AD165" i="1"/>
  <c r="AD164" i="1"/>
  <c r="AC160" i="1"/>
  <c r="AC150" i="1"/>
  <c r="AD145" i="1"/>
  <c r="AD142" i="1"/>
  <c r="AC139" i="1"/>
  <c r="AD134" i="1"/>
  <c r="AC131" i="1"/>
  <c r="AD126" i="1"/>
  <c r="AC123" i="1"/>
  <c r="AD115" i="1"/>
  <c r="AC112" i="1"/>
  <c r="AD107" i="1"/>
  <c r="AC104" i="1"/>
  <c r="AD99" i="1"/>
  <c r="AD93" i="1"/>
  <c r="AC90" i="1"/>
  <c r="AD85" i="1"/>
  <c r="AC82" i="1"/>
  <c r="AD77" i="1"/>
  <c r="AC74" i="1"/>
  <c r="AC277" i="1"/>
  <c r="AC257" i="1"/>
  <c r="AC251" i="1"/>
  <c r="AD242" i="1"/>
  <c r="AD231" i="1"/>
  <c r="AD213" i="1"/>
  <c r="AD212" i="1"/>
  <c r="AD205" i="1"/>
  <c r="AD197" i="1"/>
  <c r="AD188" i="1"/>
  <c r="AC173" i="1"/>
  <c r="AD162" i="1"/>
  <c r="AC152" i="1"/>
  <c r="AD148" i="1"/>
  <c r="AC270" i="1"/>
  <c r="AC245" i="1"/>
  <c r="AC213" i="1"/>
  <c r="AC197" i="1"/>
  <c r="AC162" i="1"/>
  <c r="AC148" i="1"/>
  <c r="AC140" i="1"/>
  <c r="AC136" i="1"/>
  <c r="AC132" i="1"/>
  <c r="AC128" i="1"/>
  <c r="AC124" i="1"/>
  <c r="AC110" i="1"/>
  <c r="AC109" i="1"/>
  <c r="AD108" i="1"/>
  <c r="AD105" i="1"/>
  <c r="AD104" i="1"/>
  <c r="AD240" i="1"/>
  <c r="AD181" i="1"/>
  <c r="AC175" i="1"/>
  <c r="AD172" i="1"/>
  <c r="AD170" i="1"/>
  <c r="AC166" i="1"/>
  <c r="AC252" i="1"/>
  <c r="AC240" i="1"/>
  <c r="AC201" i="1"/>
  <c r="AD200" i="1"/>
  <c r="AC181" i="1"/>
  <c r="AC168" i="1"/>
  <c r="AD153" i="1"/>
  <c r="AD150" i="1"/>
  <c r="AC184" i="1"/>
  <c r="AC183" i="1"/>
  <c r="AC177" i="1"/>
  <c r="AC174" i="1"/>
  <c r="AC165" i="1"/>
  <c r="AD163" i="1"/>
  <c r="AD154" i="1"/>
  <c r="AD151" i="1"/>
  <c r="AD147" i="1"/>
  <c r="AC121" i="1"/>
  <c r="AC120" i="1"/>
  <c r="AD119" i="1"/>
  <c r="AC98" i="1"/>
  <c r="AC218" i="1"/>
  <c r="AD189" i="1"/>
  <c r="AC167" i="1"/>
  <c r="AD136" i="1"/>
  <c r="AC129" i="1"/>
  <c r="AC126" i="1"/>
  <c r="AD123" i="1"/>
  <c r="AD118" i="1"/>
  <c r="AD113" i="1"/>
  <c r="AD110" i="1"/>
  <c r="AD103" i="1"/>
  <c r="AD101" i="1"/>
  <c r="AD98" i="1"/>
  <c r="AD95" i="1"/>
  <c r="AC94" i="1"/>
  <c r="AC78" i="1"/>
  <c r="AC77" i="1"/>
  <c r="AC76" i="1"/>
  <c r="AC75" i="1"/>
  <c r="AD73" i="1"/>
  <c r="AD72" i="1"/>
  <c r="AD71" i="1"/>
  <c r="AD65" i="1"/>
  <c r="AC62" i="1"/>
  <c r="AD57" i="1"/>
  <c r="AC54" i="1"/>
  <c r="AD254" i="1"/>
  <c r="AD208" i="1"/>
  <c r="AD204" i="1"/>
  <c r="AD146" i="1"/>
  <c r="AC141" i="1"/>
  <c r="AD128" i="1"/>
  <c r="AD121" i="1"/>
  <c r="AC118" i="1"/>
  <c r="AD116" i="1"/>
  <c r="AC113" i="1"/>
  <c r="AC101" i="1"/>
  <c r="AC95" i="1"/>
  <c r="AD91" i="1"/>
  <c r="AC72" i="1"/>
  <c r="AC71" i="1"/>
  <c r="AD70" i="1"/>
  <c r="AD68" i="1"/>
  <c r="AC65" i="1"/>
  <c r="AD60" i="1"/>
  <c r="AC57" i="1"/>
  <c r="AD52" i="1"/>
  <c r="AC49" i="1"/>
  <c r="AC193" i="1"/>
  <c r="AD143" i="1"/>
  <c r="AC133" i="1"/>
  <c r="AC116" i="1"/>
  <c r="AD96" i="1"/>
  <c r="AC91" i="1"/>
  <c r="AC70" i="1"/>
  <c r="AC68" i="1"/>
  <c r="AD63" i="1"/>
  <c r="AC60" i="1"/>
  <c r="AD55" i="1"/>
  <c r="AC52" i="1"/>
  <c r="AD47" i="1"/>
  <c r="AC44" i="1"/>
  <c r="AD39" i="1"/>
  <c r="AC36" i="1"/>
  <c r="AD31" i="1"/>
  <c r="AC28" i="1"/>
  <c r="AD23" i="1"/>
  <c r="AC20" i="1"/>
  <c r="AD15" i="1"/>
  <c r="AC12" i="1"/>
  <c r="AC151" i="1"/>
  <c r="AD117" i="1"/>
  <c r="AD100" i="1"/>
  <c r="AD90" i="1"/>
  <c r="AC80" i="1"/>
  <c r="AC67" i="1"/>
  <c r="AD59" i="1"/>
  <c r="AC55" i="1"/>
  <c r="AC217" i="1"/>
  <c r="AD157" i="1"/>
  <c r="AD156" i="1"/>
  <c r="AD139" i="1"/>
  <c r="AC134" i="1"/>
  <c r="AC105" i="1"/>
  <c r="AC93" i="1"/>
  <c r="AC87" i="1"/>
  <c r="AC83" i="1"/>
  <c r="AD81" i="1"/>
  <c r="AD78" i="1"/>
  <c r="AC144" i="1"/>
  <c r="AD135" i="1"/>
  <c r="AD102" i="1"/>
  <c r="AC88" i="1"/>
  <c r="AD83" i="1"/>
  <c r="AD66" i="1"/>
  <c r="AD61" i="1"/>
  <c r="AC51" i="1"/>
  <c r="AD48" i="1"/>
  <c r="AC45" i="1"/>
  <c r="AC42" i="1"/>
  <c r="AC39" i="1"/>
  <c r="AC33" i="1"/>
  <c r="AC30" i="1"/>
  <c r="AC27" i="1"/>
  <c r="AC24" i="1"/>
  <c r="AD203" i="1"/>
  <c r="AD177" i="1"/>
  <c r="AD173" i="1"/>
  <c r="AD160" i="1"/>
  <c r="AC154" i="1"/>
  <c r="AC153" i="1"/>
  <c r="AC145" i="1"/>
  <c r="AD129" i="1"/>
  <c r="AC102" i="1"/>
  <c r="AD75" i="1"/>
  <c r="AC66" i="1"/>
  <c r="AC61" i="1"/>
  <c r="AD54" i="1"/>
  <c r="AC48" i="1"/>
  <c r="AD29" i="1"/>
  <c r="AD26" i="1"/>
  <c r="AD56" i="1"/>
  <c r="AD169" i="1"/>
  <c r="AD137" i="1"/>
  <c r="AD132" i="1"/>
  <c r="AC125" i="1"/>
  <c r="AC117" i="1"/>
  <c r="AC106" i="1"/>
  <c r="AC69" i="1"/>
  <c r="AC64" i="1"/>
  <c r="AD37" i="1"/>
  <c r="AD34" i="1"/>
  <c r="AD28" i="1"/>
  <c r="AD25" i="1"/>
  <c r="AD22" i="1"/>
  <c r="AD19" i="1"/>
  <c r="AD16" i="1"/>
  <c r="AC13" i="1"/>
  <c r="AC10" i="1"/>
  <c r="AC274" i="1"/>
  <c r="AC108" i="1"/>
  <c r="AC92" i="1"/>
  <c r="AD89" i="1"/>
  <c r="AD82" i="1"/>
  <c r="AD80" i="1"/>
  <c r="AC58" i="1"/>
  <c r="AD45" i="1"/>
  <c r="AD36" i="1"/>
  <c r="AC34" i="1"/>
  <c r="AD32" i="1"/>
  <c r="AD27" i="1"/>
  <c r="AC9" i="1"/>
  <c r="AC115" i="1"/>
  <c r="AD112" i="1"/>
  <c r="AC100" i="1"/>
  <c r="AC32" i="1"/>
  <c r="AC15" i="1"/>
  <c r="AD30" i="1"/>
  <c r="AD35" i="1"/>
  <c r="AC21" i="1"/>
  <c r="AD18" i="1"/>
  <c r="AD79" i="1"/>
  <c r="AD33" i="1"/>
  <c r="AC31" i="1"/>
  <c r="AC29" i="1"/>
  <c r="AC18" i="1"/>
  <c r="AD62" i="1"/>
  <c r="AD24" i="1"/>
  <c r="AC86" i="1"/>
  <c r="AD58" i="1"/>
  <c r="AD49" i="1"/>
  <c r="AC47" i="1"/>
  <c r="AC40" i="1"/>
  <c r="AC38" i="1"/>
  <c r="AC147" i="1"/>
  <c r="AC137" i="1"/>
  <c r="AC96" i="1"/>
  <c r="AD51" i="1"/>
  <c r="AD43" i="1"/>
  <c r="AD41" i="1"/>
  <c r="AC25" i="1"/>
  <c r="AC23" i="1"/>
  <c r="AD10" i="1"/>
  <c r="AD17" i="1"/>
  <c r="AC16" i="1"/>
  <c r="AD11" i="1"/>
  <c r="AD46" i="1"/>
  <c r="AD44" i="1"/>
  <c r="AC37" i="1"/>
  <c r="AC26" i="1"/>
  <c r="AD21" i="1"/>
  <c r="AC46" i="1"/>
  <c r="AC35" i="1"/>
  <c r="AC249" i="1"/>
  <c r="AC119" i="1"/>
  <c r="AD13" i="1"/>
  <c r="AC99" i="1"/>
  <c r="AD86" i="1"/>
  <c r="AD88" i="1"/>
  <c r="AC59" i="1"/>
  <c r="AC22" i="1"/>
  <c r="AD20" i="1"/>
  <c r="AC244" i="1"/>
  <c r="AC159" i="1"/>
  <c r="AC142" i="1"/>
  <c r="AD109" i="1"/>
  <c r="AD94" i="1"/>
  <c r="AD69" i="1"/>
  <c r="AD53" i="1"/>
  <c r="AC43" i="1"/>
  <c r="AC41" i="1"/>
  <c r="AD233" i="1"/>
  <c r="AC219" i="1"/>
  <c r="AC157" i="1"/>
  <c r="AD140" i="1"/>
  <c r="AD124" i="1"/>
  <c r="AD97" i="1"/>
  <c r="AC56" i="1"/>
  <c r="AC53" i="1"/>
  <c r="AD50" i="1"/>
  <c r="AC17" i="1"/>
  <c r="AD12" i="1"/>
  <c r="AC11" i="1"/>
  <c r="AD67" i="1"/>
  <c r="AD120" i="1"/>
  <c r="AC107" i="1"/>
  <c r="AD87" i="1"/>
  <c r="AC85" i="1"/>
  <c r="AC79" i="1"/>
  <c r="AC63" i="1"/>
  <c r="AD42" i="1"/>
  <c r="AC19" i="1"/>
  <c r="AD14" i="1"/>
  <c r="AD131" i="1"/>
  <c r="AD111" i="1"/>
  <c r="AC14" i="1"/>
  <c r="AD127" i="1"/>
  <c r="AC84" i="1"/>
  <c r="AD74" i="1"/>
  <c r="AC50" i="1"/>
  <c r="AD171" i="1"/>
  <c r="AD64" i="1"/>
  <c r="AD40" i="1"/>
  <c r="AD38" i="1"/>
  <c r="AC114" i="1"/>
  <c r="AD9" i="1"/>
  <c r="AF4" i="1"/>
  <c r="AF311" i="1" l="1"/>
  <c r="AE308" i="1"/>
  <c r="AF305" i="1"/>
  <c r="AF302" i="1"/>
  <c r="AE299" i="1"/>
  <c r="AF294" i="1"/>
  <c r="AE291" i="1"/>
  <c r="AE287" i="1"/>
  <c r="AE283" i="1"/>
  <c r="AF314" i="1"/>
  <c r="AE311" i="1"/>
  <c r="AE305" i="1"/>
  <c r="AE302" i="1"/>
  <c r="AF297" i="1"/>
  <c r="AE294" i="1"/>
  <c r="AF288" i="1"/>
  <c r="AE314" i="1"/>
  <c r="AF309" i="1"/>
  <c r="AF306" i="1"/>
  <c r="AF300" i="1"/>
  <c r="AE297" i="1"/>
  <c r="AF292" i="1"/>
  <c r="AE288" i="1"/>
  <c r="AE284" i="1"/>
  <c r="AF281" i="1"/>
  <c r="AE310" i="1"/>
  <c r="AE301" i="1"/>
  <c r="AE293" i="1"/>
  <c r="AF286" i="1"/>
  <c r="AF285" i="1"/>
  <c r="AE281" i="1"/>
  <c r="AF287" i="1"/>
  <c r="AE286" i="1"/>
  <c r="AE285" i="1"/>
  <c r="AF284" i="1"/>
  <c r="AE278" i="1"/>
  <c r="AF273" i="1"/>
  <c r="AE270" i="1"/>
  <c r="AF299" i="1"/>
  <c r="AE279" i="1"/>
  <c r="AF278" i="1"/>
  <c r="AF275" i="1"/>
  <c r="AE272" i="1"/>
  <c r="AE269" i="1"/>
  <c r="AE266" i="1"/>
  <c r="AF261" i="1"/>
  <c r="AF308" i="1"/>
  <c r="AF291" i="1"/>
  <c r="AF283" i="1"/>
  <c r="AF282" i="1"/>
  <c r="AE275" i="1"/>
  <c r="AF264" i="1"/>
  <c r="AE261" i="1"/>
  <c r="AF256" i="1"/>
  <c r="AE253" i="1"/>
  <c r="AF248" i="1"/>
  <c r="AF304" i="1"/>
  <c r="AE282" i="1"/>
  <c r="AF277" i="1"/>
  <c r="AF274" i="1"/>
  <c r="AF271" i="1"/>
  <c r="AF268" i="1"/>
  <c r="AE264" i="1"/>
  <c r="AF259" i="1"/>
  <c r="AE256" i="1"/>
  <c r="AF251" i="1"/>
  <c r="AE248" i="1"/>
  <c r="AF243" i="1"/>
  <c r="AF313" i="1"/>
  <c r="AE306" i="1"/>
  <c r="AE304" i="1"/>
  <c r="AF301" i="1"/>
  <c r="AF296" i="1"/>
  <c r="AE277" i="1"/>
  <c r="AE274" i="1"/>
  <c r="AE271" i="1"/>
  <c r="AE268" i="1"/>
  <c r="AF262" i="1"/>
  <c r="AE259" i="1"/>
  <c r="AE313" i="1"/>
  <c r="AF310" i="1"/>
  <c r="AF303" i="1"/>
  <c r="AF298" i="1"/>
  <c r="AE296" i="1"/>
  <c r="AF293" i="1"/>
  <c r="AF289" i="1"/>
  <c r="AF265" i="1"/>
  <c r="AE262" i="1"/>
  <c r="AF290" i="1"/>
  <c r="AE280" i="1"/>
  <c r="AF270" i="1"/>
  <c r="AF269" i="1"/>
  <c r="AE257" i="1"/>
  <c r="AE255" i="1"/>
  <c r="AF254" i="1"/>
  <c r="AF252" i="1"/>
  <c r="AF242" i="1"/>
  <c r="AF240" i="1"/>
  <c r="AE237" i="1"/>
  <c r="AF232" i="1"/>
  <c r="AE229" i="1"/>
  <c r="AF224" i="1"/>
  <c r="AE221" i="1"/>
  <c r="AF307" i="1"/>
  <c r="AF295" i="1"/>
  <c r="AE290" i="1"/>
  <c r="AE289" i="1"/>
  <c r="AF267" i="1"/>
  <c r="AF266" i="1"/>
  <c r="AF260" i="1"/>
  <c r="AE254" i="1"/>
  <c r="AF253" i="1"/>
  <c r="AE252" i="1"/>
  <c r="AE251" i="1"/>
  <c r="AF250" i="1"/>
  <c r="AF245" i="1"/>
  <c r="AE242" i="1"/>
  <c r="AE240" i="1"/>
  <c r="AF235" i="1"/>
  <c r="AE232" i="1"/>
  <c r="AF227" i="1"/>
  <c r="AE224" i="1"/>
  <c r="AE312" i="1"/>
  <c r="AE300" i="1"/>
  <c r="AE292" i="1"/>
  <c r="AE247" i="1"/>
  <c r="AE244" i="1"/>
  <c r="AE241" i="1"/>
  <c r="AF236" i="1"/>
  <c r="AE233" i="1"/>
  <c r="AE309" i="1"/>
  <c r="AF312" i="1"/>
  <c r="AE307" i="1"/>
  <c r="AF272" i="1"/>
  <c r="AE263" i="1"/>
  <c r="AE250" i="1"/>
  <c r="AF246" i="1"/>
  <c r="AF234" i="1"/>
  <c r="AE223" i="1"/>
  <c r="AE220" i="1"/>
  <c r="AE217" i="1"/>
  <c r="AF212" i="1"/>
  <c r="AE209" i="1"/>
  <c r="AF204" i="1"/>
  <c r="AE201" i="1"/>
  <c r="AE198" i="1"/>
  <c r="AF193" i="1"/>
  <c r="AE246" i="1"/>
  <c r="AF244" i="1"/>
  <c r="AF238" i="1"/>
  <c r="AE234" i="1"/>
  <c r="AF215" i="1"/>
  <c r="AE212" i="1"/>
  <c r="AF207" i="1"/>
  <c r="AE204" i="1"/>
  <c r="AF196" i="1"/>
  <c r="AE193" i="1"/>
  <c r="AF188" i="1"/>
  <c r="AE185" i="1"/>
  <c r="AF180" i="1"/>
  <c r="AE295" i="1"/>
  <c r="AF279" i="1"/>
  <c r="AE303" i="1"/>
  <c r="AE298" i="1"/>
  <c r="AF280" i="1"/>
  <c r="AE276" i="1"/>
  <c r="AE267" i="1"/>
  <c r="AF249" i="1"/>
  <c r="AE236" i="1"/>
  <c r="AF231" i="1"/>
  <c r="AF216" i="1"/>
  <c r="AE213" i="1"/>
  <c r="AF208" i="1"/>
  <c r="AE205" i="1"/>
  <c r="AF197" i="1"/>
  <c r="AE194" i="1"/>
  <c r="AF189" i="1"/>
  <c r="AE186" i="1"/>
  <c r="AF181" i="1"/>
  <c r="AE260" i="1"/>
  <c r="AF237" i="1"/>
  <c r="AF229" i="1"/>
  <c r="AE215" i="1"/>
  <c r="AF211" i="1"/>
  <c r="AE210" i="1"/>
  <c r="AE207" i="1"/>
  <c r="AF203" i="1"/>
  <c r="AE202" i="1"/>
  <c r="AF198" i="1"/>
  <c r="AF194" i="1"/>
  <c r="AF177" i="1"/>
  <c r="AF263" i="1"/>
  <c r="AF241" i="1"/>
  <c r="AE231" i="1"/>
  <c r="AF226" i="1"/>
  <c r="AF223" i="1"/>
  <c r="AF218" i="1"/>
  <c r="AE211" i="1"/>
  <c r="AE203" i="1"/>
  <c r="AF195" i="1"/>
  <c r="AE177" i="1"/>
  <c r="AF172" i="1"/>
  <c r="AE169" i="1"/>
  <c r="AF164" i="1"/>
  <c r="AE249" i="1"/>
  <c r="AE245" i="1"/>
  <c r="AF239" i="1"/>
  <c r="AF230" i="1"/>
  <c r="AF225" i="1"/>
  <c r="AF219" i="1"/>
  <c r="AE200" i="1"/>
  <c r="AE192" i="1"/>
  <c r="AE184" i="1"/>
  <c r="AF183" i="1"/>
  <c r="AF182" i="1"/>
  <c r="AE181" i="1"/>
  <c r="AE180" i="1"/>
  <c r="AE178" i="1"/>
  <c r="AF173" i="1"/>
  <c r="AE170" i="1"/>
  <c r="AF165" i="1"/>
  <c r="AE162" i="1"/>
  <c r="AF157" i="1"/>
  <c r="AE154" i="1"/>
  <c r="AF276" i="1"/>
  <c r="AE273" i="1"/>
  <c r="AE243" i="1"/>
  <c r="AF206" i="1"/>
  <c r="AF202" i="1"/>
  <c r="AE199" i="1"/>
  <c r="AE182" i="1"/>
  <c r="AF179" i="1"/>
  <c r="AE152" i="1"/>
  <c r="AF147" i="1"/>
  <c r="AE144" i="1"/>
  <c r="AE141" i="1"/>
  <c r="AF136" i="1"/>
  <c r="AE133" i="1"/>
  <c r="AF128" i="1"/>
  <c r="AE125" i="1"/>
  <c r="AF257" i="1"/>
  <c r="AF222" i="1"/>
  <c r="AE206" i="1"/>
  <c r="AF201" i="1"/>
  <c r="AE197" i="1"/>
  <c r="AE179" i="1"/>
  <c r="AF175" i="1"/>
  <c r="AF174" i="1"/>
  <c r="AE173" i="1"/>
  <c r="AE172" i="1"/>
  <c r="AF171" i="1"/>
  <c r="AF160" i="1"/>
  <c r="AE157" i="1"/>
  <c r="AF154" i="1"/>
  <c r="AF150" i="1"/>
  <c r="AE147" i="1"/>
  <c r="AF139" i="1"/>
  <c r="AE136" i="1"/>
  <c r="AF131" i="1"/>
  <c r="AE128" i="1"/>
  <c r="AF123" i="1"/>
  <c r="AE120" i="1"/>
  <c r="AE117" i="1"/>
  <c r="AF112" i="1"/>
  <c r="AE109" i="1"/>
  <c r="AF104" i="1"/>
  <c r="AE101" i="1"/>
  <c r="AE98" i="1"/>
  <c r="AE95" i="1"/>
  <c r="AF90" i="1"/>
  <c r="AE87" i="1"/>
  <c r="AF82" i="1"/>
  <c r="AE79" i="1"/>
  <c r="AF74" i="1"/>
  <c r="AE71" i="1"/>
  <c r="AE258" i="1"/>
  <c r="AF255" i="1"/>
  <c r="AE219" i="1"/>
  <c r="AF213" i="1"/>
  <c r="AF200" i="1"/>
  <c r="AE196" i="1"/>
  <c r="AE167" i="1"/>
  <c r="AE166" i="1"/>
  <c r="AE163" i="1"/>
  <c r="AF162" i="1"/>
  <c r="AF159" i="1"/>
  <c r="AE156" i="1"/>
  <c r="AE153" i="1"/>
  <c r="AF151" i="1"/>
  <c r="AE148" i="1"/>
  <c r="AF140" i="1"/>
  <c r="AE137" i="1"/>
  <c r="AF132" i="1"/>
  <c r="AE129" i="1"/>
  <c r="AF124" i="1"/>
  <c r="AE121" i="1"/>
  <c r="AE118" i="1"/>
  <c r="AF113" i="1"/>
  <c r="AE110" i="1"/>
  <c r="AF105" i="1"/>
  <c r="AE102" i="1"/>
  <c r="AE96" i="1"/>
  <c r="AF91" i="1"/>
  <c r="AE88" i="1"/>
  <c r="AF83" i="1"/>
  <c r="AE80" i="1"/>
  <c r="AF75" i="1"/>
  <c r="AE72" i="1"/>
  <c r="AE265" i="1"/>
  <c r="AF247" i="1"/>
  <c r="AE239" i="1"/>
  <c r="AF220" i="1"/>
  <c r="AF214" i="1"/>
  <c r="AF187" i="1"/>
  <c r="AE164" i="1"/>
  <c r="AF155" i="1"/>
  <c r="AF149" i="1"/>
  <c r="AE225" i="1"/>
  <c r="AE214" i="1"/>
  <c r="AE187" i="1"/>
  <c r="AE175" i="1"/>
  <c r="AF170" i="1"/>
  <c r="AF168" i="1"/>
  <c r="AF166" i="1"/>
  <c r="AE160" i="1"/>
  <c r="AF158" i="1"/>
  <c r="AE155" i="1"/>
  <c r="AE149" i="1"/>
  <c r="AF145" i="1"/>
  <c r="AE107" i="1"/>
  <c r="AE106" i="1"/>
  <c r="AE103" i="1"/>
  <c r="AF102" i="1"/>
  <c r="AF101" i="1"/>
  <c r="AF100" i="1"/>
  <c r="AE222" i="1"/>
  <c r="AF221" i="1"/>
  <c r="AE216" i="1"/>
  <c r="AF186" i="1"/>
  <c r="AE168" i="1"/>
  <c r="AF258" i="1"/>
  <c r="AE226" i="1"/>
  <c r="AF217" i="1"/>
  <c r="AE208" i="1"/>
  <c r="AF199" i="1"/>
  <c r="AF185" i="1"/>
  <c r="AF178" i="1"/>
  <c r="AF156" i="1"/>
  <c r="AE228" i="1"/>
  <c r="AE218" i="1"/>
  <c r="AF210" i="1"/>
  <c r="AE191" i="1"/>
  <c r="AF190" i="1"/>
  <c r="AE171" i="1"/>
  <c r="AF169" i="1"/>
  <c r="AE161" i="1"/>
  <c r="AE159" i="1"/>
  <c r="AF143" i="1"/>
  <c r="AE142" i="1"/>
  <c r="AE139" i="1"/>
  <c r="AF135" i="1"/>
  <c r="AE134" i="1"/>
  <c r="AE131" i="1"/>
  <c r="AF127" i="1"/>
  <c r="AE126" i="1"/>
  <c r="AE123" i="1"/>
  <c r="AF118" i="1"/>
  <c r="AF117" i="1"/>
  <c r="AF116" i="1"/>
  <c r="AE97" i="1"/>
  <c r="AF96" i="1"/>
  <c r="AF192" i="1"/>
  <c r="AE146" i="1"/>
  <c r="AF141" i="1"/>
  <c r="AF121" i="1"/>
  <c r="AE116" i="1"/>
  <c r="AE91" i="1"/>
  <c r="AE70" i="1"/>
  <c r="AE68" i="1"/>
  <c r="AF63" i="1"/>
  <c r="AE60" i="1"/>
  <c r="AF55" i="1"/>
  <c r="AE195" i="1"/>
  <c r="AE143" i="1"/>
  <c r="AF138" i="1"/>
  <c r="AF133" i="1"/>
  <c r="AF111" i="1"/>
  <c r="AF108" i="1"/>
  <c r="AF99" i="1"/>
  <c r="AF66" i="1"/>
  <c r="AE63" i="1"/>
  <c r="AF58" i="1"/>
  <c r="AE55" i="1"/>
  <c r="AF50" i="1"/>
  <c r="AF184" i="1"/>
  <c r="AF176" i="1"/>
  <c r="AE165" i="1"/>
  <c r="AE151" i="1"/>
  <c r="AE138" i="1"/>
  <c r="AE135" i="1"/>
  <c r="AF130" i="1"/>
  <c r="AF125" i="1"/>
  <c r="AF119" i="1"/>
  <c r="AF114" i="1"/>
  <c r="AE111" i="1"/>
  <c r="AE108" i="1"/>
  <c r="AF106" i="1"/>
  <c r="AE104" i="1"/>
  <c r="AE99" i="1"/>
  <c r="AF92" i="1"/>
  <c r="AF69" i="1"/>
  <c r="AE66" i="1"/>
  <c r="AF61" i="1"/>
  <c r="AE58" i="1"/>
  <c r="AF53" i="1"/>
  <c r="AE50" i="1"/>
  <c r="AF45" i="1"/>
  <c r="AE42" i="1"/>
  <c r="AF37" i="1"/>
  <c r="AE34" i="1"/>
  <c r="AF29" i="1"/>
  <c r="AE26" i="1"/>
  <c r="AF21" i="1"/>
  <c r="AE18" i="1"/>
  <c r="AF13" i="1"/>
  <c r="AE10" i="1"/>
  <c r="AE183" i="1"/>
  <c r="AF161" i="1"/>
  <c r="AE150" i="1"/>
  <c r="AF115" i="1"/>
  <c r="AF109" i="1"/>
  <c r="AE94" i="1"/>
  <c r="AE86" i="1"/>
  <c r="AE84" i="1"/>
  <c r="AF79" i="1"/>
  <c r="AE76" i="1"/>
  <c r="AF72" i="1"/>
  <c r="AF64" i="1"/>
  <c r="AF60" i="1"/>
  <c r="AF233" i="1"/>
  <c r="AF146" i="1"/>
  <c r="AE140" i="1"/>
  <c r="AF137" i="1"/>
  <c r="AF120" i="1"/>
  <c r="AE112" i="1"/>
  <c r="AF97" i="1"/>
  <c r="AF85" i="1"/>
  <c r="AE235" i="1"/>
  <c r="AF153" i="1"/>
  <c r="AE145" i="1"/>
  <c r="AF129" i="1"/>
  <c r="AF122" i="1"/>
  <c r="AE113" i="1"/>
  <c r="AF103" i="1"/>
  <c r="AE75" i="1"/>
  <c r="AF59" i="1"/>
  <c r="AE56" i="1"/>
  <c r="AE54" i="1"/>
  <c r="AF44" i="1"/>
  <c r="AF41" i="1"/>
  <c r="AF38" i="1"/>
  <c r="AF35" i="1"/>
  <c r="AF32" i="1"/>
  <c r="AE29" i="1"/>
  <c r="AF26" i="1"/>
  <c r="AF23" i="1"/>
  <c r="AE20" i="1"/>
  <c r="AE17" i="1"/>
  <c r="AE14" i="1"/>
  <c r="AE11" i="1"/>
  <c r="AE190" i="1"/>
  <c r="AE188" i="1"/>
  <c r="AE130" i="1"/>
  <c r="AE122" i="1"/>
  <c r="AE115" i="1"/>
  <c r="AE114" i="1"/>
  <c r="AF87" i="1"/>
  <c r="AE82" i="1"/>
  <c r="AE74" i="1"/>
  <c r="AF62" i="1"/>
  <c r="AE59" i="1"/>
  <c r="AF57" i="1"/>
  <c r="AF47" i="1"/>
  <c r="AE44" i="1"/>
  <c r="AE38" i="1"/>
  <c r="AE35" i="1"/>
  <c r="AE23" i="1"/>
  <c r="AE41" i="1"/>
  <c r="AE32" i="1"/>
  <c r="AF94" i="1"/>
  <c r="AE90" i="1"/>
  <c r="AF89" i="1"/>
  <c r="AF86" i="1"/>
  <c r="AE81" i="1"/>
  <c r="AE67" i="1"/>
  <c r="AF65" i="1"/>
  <c r="AE53" i="1"/>
  <c r="AF52" i="1"/>
  <c r="AE46" i="1"/>
  <c r="AE43" i="1"/>
  <c r="AE40" i="1"/>
  <c r="AE31" i="1"/>
  <c r="AF12" i="1"/>
  <c r="AF9" i="1"/>
  <c r="AF209" i="1"/>
  <c r="AF191" i="1"/>
  <c r="AF134" i="1"/>
  <c r="AE100" i="1"/>
  <c r="AF93" i="1"/>
  <c r="AF81" i="1"/>
  <c r="AF76" i="1"/>
  <c r="AF70" i="1"/>
  <c r="AE57" i="1"/>
  <c r="AE51" i="1"/>
  <c r="AF43" i="1"/>
  <c r="AF30" i="1"/>
  <c r="AE25" i="1"/>
  <c r="AF16" i="1"/>
  <c r="AE15" i="1"/>
  <c r="AF10" i="1"/>
  <c r="AF142" i="1"/>
  <c r="AF126" i="1"/>
  <c r="AE93" i="1"/>
  <c r="AE83" i="1"/>
  <c r="AF71" i="1"/>
  <c r="AE69" i="1"/>
  <c r="AE30" i="1"/>
  <c r="AF28" i="1"/>
  <c r="AF17" i="1"/>
  <c r="AE16" i="1"/>
  <c r="AF11" i="1"/>
  <c r="AE48" i="1"/>
  <c r="AE28" i="1"/>
  <c r="AF33" i="1"/>
  <c r="AE119" i="1"/>
  <c r="AE78" i="1"/>
  <c r="AE33" i="1"/>
  <c r="AF31" i="1"/>
  <c r="AF24" i="1"/>
  <c r="AE13" i="1"/>
  <c r="AE238" i="1"/>
  <c r="AF110" i="1"/>
  <c r="AF107" i="1"/>
  <c r="AF42" i="1"/>
  <c r="AF40" i="1"/>
  <c r="AF14" i="1"/>
  <c r="AE47" i="1"/>
  <c r="AF27" i="1"/>
  <c r="AE22" i="1"/>
  <c r="AF20" i="1"/>
  <c r="AE158" i="1"/>
  <c r="AE89" i="1"/>
  <c r="AE45" i="1"/>
  <c r="AE36" i="1"/>
  <c r="AF25" i="1"/>
  <c r="AE132" i="1"/>
  <c r="AF48" i="1"/>
  <c r="AE21" i="1"/>
  <c r="AE65" i="1"/>
  <c r="AE39" i="1"/>
  <c r="AF18" i="1"/>
  <c r="AF148" i="1"/>
  <c r="AE85" i="1"/>
  <c r="AE64" i="1"/>
  <c r="AE62" i="1"/>
  <c r="AF49" i="1"/>
  <c r="AE24" i="1"/>
  <c r="AF22" i="1"/>
  <c r="AE19" i="1"/>
  <c r="AF80" i="1"/>
  <c r="AE27" i="1"/>
  <c r="AF15" i="1"/>
  <c r="AF228" i="1"/>
  <c r="AF205" i="1"/>
  <c r="AE174" i="1"/>
  <c r="AE124" i="1"/>
  <c r="AF77" i="1"/>
  <c r="AF68" i="1"/>
  <c r="AF56" i="1"/>
  <c r="AF54" i="1"/>
  <c r="AF46" i="1"/>
  <c r="AF39" i="1"/>
  <c r="AE37" i="1"/>
  <c r="AE12" i="1"/>
  <c r="AE230" i="1"/>
  <c r="AF152" i="1"/>
  <c r="AE127" i="1"/>
  <c r="AF84" i="1"/>
  <c r="AF78" i="1"/>
  <c r="AE77" i="1"/>
  <c r="AF73" i="1"/>
  <c r="AF67" i="1"/>
  <c r="AE52" i="1"/>
  <c r="AE227" i="1"/>
  <c r="AF167" i="1"/>
  <c r="AF95" i="1"/>
  <c r="AF88" i="1"/>
  <c r="AE49" i="1"/>
  <c r="AF36" i="1"/>
  <c r="AE189" i="1"/>
  <c r="AF144" i="1"/>
  <c r="AE176" i="1"/>
  <c r="AF163" i="1"/>
  <c r="AF98" i="1"/>
  <c r="AE73" i="1"/>
  <c r="AF19" i="1"/>
  <c r="AE9" i="1"/>
  <c r="AE105" i="1"/>
  <c r="AE92" i="1"/>
  <c r="AE61" i="1"/>
  <c r="AF51" i="1"/>
  <c r="AF34" i="1"/>
</calcChain>
</file>

<file path=xl/sharedStrings.xml><?xml version="1.0" encoding="utf-8"?>
<sst xmlns="http://schemas.openxmlformats.org/spreadsheetml/2006/main" count="2942" uniqueCount="933">
  <si>
    <t>FIXED ASSET BUDGET(Investment Budget)</t>
    <phoneticPr fontId="0"/>
  </si>
  <si>
    <t>Year</t>
    <phoneticPr fontId="0"/>
  </si>
  <si>
    <t>FY2026</t>
  </si>
  <si>
    <t>Please select drop down list</t>
    <phoneticPr fontId="0"/>
  </si>
  <si>
    <t>Gurgaon</t>
  </si>
  <si>
    <t>Division</t>
    <phoneticPr fontId="0"/>
  </si>
  <si>
    <t>Production</t>
  </si>
  <si>
    <t>Department</t>
    <phoneticPr fontId="0"/>
  </si>
  <si>
    <t>PJM</t>
  </si>
  <si>
    <t>Mandatory</t>
  </si>
  <si>
    <t>Management
No</t>
    <phoneticPr fontId="0"/>
  </si>
  <si>
    <r>
      <t xml:space="preserve">Category
</t>
    </r>
    <r>
      <rPr>
        <b/>
        <sz val="6"/>
        <rFont val="Arial"/>
        <family val="2"/>
      </rPr>
      <t>Please select drop down list</t>
    </r>
  </si>
  <si>
    <t>Name of investment</t>
    <phoneticPr fontId="0"/>
  </si>
  <si>
    <t>Description</t>
  </si>
  <si>
    <r>
      <t xml:space="preserve">Fixed Asset code
</t>
    </r>
    <r>
      <rPr>
        <b/>
        <sz val="6"/>
        <color theme="1"/>
        <rFont val="Arial"/>
        <family val="2"/>
      </rPr>
      <t>Please select drop down list</t>
    </r>
  </si>
  <si>
    <r>
      <t xml:space="preserve">Sales Model
</t>
    </r>
    <r>
      <rPr>
        <b/>
        <sz val="6"/>
        <color theme="1"/>
        <rFont val="Arial"/>
        <family val="2"/>
      </rPr>
      <t>Please select drop down list</t>
    </r>
  </si>
  <si>
    <r>
      <t xml:space="preserve">Process Department
</t>
    </r>
    <r>
      <rPr>
        <b/>
        <sz val="6"/>
        <color theme="1"/>
        <rFont val="Arial"/>
        <family val="2"/>
      </rPr>
      <t>Please select drop down list</t>
    </r>
  </si>
  <si>
    <t>Year of PO</t>
    <phoneticPr fontId="0"/>
  </si>
  <si>
    <t>Month of PO</t>
    <phoneticPr fontId="0"/>
  </si>
  <si>
    <t>Only Die &amp; Jig
model SOP Year/Month</t>
    <phoneticPr fontId="9"/>
  </si>
  <si>
    <t>Qty.</t>
    <phoneticPr fontId="0"/>
  </si>
  <si>
    <r>
      <t xml:space="preserve">Budget amount
</t>
    </r>
    <r>
      <rPr>
        <b/>
        <sz val="12"/>
        <color theme="1"/>
        <rFont val="Arial"/>
        <family val="2"/>
      </rPr>
      <t>(Thousand Rs)</t>
    </r>
  </si>
  <si>
    <t>useful life</t>
    <phoneticPr fontId="0"/>
  </si>
  <si>
    <t>Depreciation 
ratio</t>
    <phoneticPr fontId="0"/>
  </si>
  <si>
    <t>Beginning FY2021</t>
  </si>
  <si>
    <t>DP2021</t>
  </si>
  <si>
    <t>Beginning FY2022</t>
  </si>
  <si>
    <t>DP2022</t>
  </si>
  <si>
    <t>Beginning FY2023</t>
  </si>
  <si>
    <t>DP2023</t>
  </si>
  <si>
    <t>Beginning FY2024</t>
  </si>
  <si>
    <t>DP2024</t>
  </si>
  <si>
    <t>Beginning FY2025</t>
  </si>
  <si>
    <t>DP2025</t>
  </si>
  <si>
    <t>Beginning FY2026</t>
  </si>
  <si>
    <t>DP2026</t>
  </si>
  <si>
    <t>Beginning FY2027</t>
  </si>
  <si>
    <t>DP2027</t>
  </si>
  <si>
    <t>Beginning FY2028</t>
    <phoneticPr fontId="9"/>
  </si>
  <si>
    <t>DP2028</t>
    <phoneticPr fontId="9"/>
  </si>
  <si>
    <t>Beginning FY2029</t>
    <phoneticPr fontId="9"/>
  </si>
  <si>
    <t>DP2029</t>
    <phoneticPr fontId="9"/>
  </si>
  <si>
    <t>nnnn</t>
  </si>
  <si>
    <t>Department</t>
  </si>
  <si>
    <t>Name</t>
  </si>
  <si>
    <t>Capitlization date (SOP Date)</t>
  </si>
  <si>
    <t>Production proto date</t>
  </si>
  <si>
    <t>Dep</t>
  </si>
  <si>
    <t>26-1-6900-1</t>
  </si>
  <si>
    <t>Equipment etc. for sales</t>
  </si>
  <si>
    <t>PR Fleet Vehicles</t>
  </si>
  <si>
    <t>XF3T8</t>
  </si>
  <si>
    <t>15 VEHICLES</t>
  </si>
  <si>
    <t>UN125</t>
  </si>
  <si>
    <t>DEALER DEVELOPMENT</t>
  </si>
  <si>
    <t>April'26</t>
  </si>
  <si>
    <t>6900</t>
  </si>
  <si>
    <t>DEALER DEVELOPMENT ((Big Bike)</t>
  </si>
  <si>
    <t>26-1-6900-2</t>
  </si>
  <si>
    <t>XF3P3</t>
  </si>
  <si>
    <t>UZ125</t>
  </si>
  <si>
    <t>26-1-6900-3</t>
  </si>
  <si>
    <t>XF3N1</t>
  </si>
  <si>
    <t>UB125</t>
  </si>
  <si>
    <t>26-1-6900-4</t>
  </si>
  <si>
    <t>XF0A1</t>
  </si>
  <si>
    <t>Other scoter</t>
  </si>
  <si>
    <t>Nov'26</t>
  </si>
  <si>
    <t>26-1-6900-6</t>
  </si>
  <si>
    <t>AI Tool</t>
  </si>
  <si>
    <t>VR Led Digital Showroom</t>
  </si>
  <si>
    <t>13 INTANGIBLE ASSETS</t>
  </si>
  <si>
    <t xml:space="preserve">ALL </t>
  </si>
  <si>
    <t>May'26</t>
  </si>
  <si>
    <t>26-1-6900-8</t>
  </si>
  <si>
    <t>Predictive analysis for CRM - Enquiry to Conversion</t>
  </si>
  <si>
    <t>Aug'26</t>
  </si>
  <si>
    <t>26-1-6900-10</t>
  </si>
  <si>
    <t>Chatbot based 24/7 instant responses with Avator</t>
  </si>
  <si>
    <t>26-1-6G03-1</t>
  </si>
  <si>
    <t>Vehicle capitalization for marketing</t>
  </si>
  <si>
    <t>XF3T8 (NEZ,NEX,)</t>
  </si>
  <si>
    <t>MARKETING</t>
  </si>
  <si>
    <t>6G03</t>
  </si>
  <si>
    <t>Marketing and Product Planning</t>
  </si>
  <si>
    <t>XF3Q6</t>
  </si>
  <si>
    <t>ESC004</t>
  </si>
  <si>
    <t>26-1-6600-1</t>
  </si>
  <si>
    <t>New Trg center (Coimbatore)</t>
  </si>
  <si>
    <t>Office Furnitures</t>
  </si>
  <si>
    <t>12 FURNITURE &amp; FIXTURE</t>
  </si>
  <si>
    <t>Service</t>
  </si>
  <si>
    <t>6600</t>
  </si>
  <si>
    <t>SERVICE.M/C DOM (Indirect)</t>
  </si>
  <si>
    <t>26-1-6600-2</t>
  </si>
  <si>
    <t>Others (admin.)</t>
  </si>
  <si>
    <t>Office Equipments</t>
  </si>
  <si>
    <t>14 OFFICE EQUIPMENTS</t>
  </si>
  <si>
    <t>ALL</t>
  </si>
  <si>
    <t>26-1-6600-3</t>
  </si>
  <si>
    <t>Vehicles</t>
  </si>
  <si>
    <t>26-1-6600-4</t>
  </si>
  <si>
    <t>Engines + Cut sections</t>
  </si>
  <si>
    <t>9 TOOLS</t>
  </si>
  <si>
    <t>26-1-6600-5</t>
  </si>
  <si>
    <t>Training Equipments</t>
  </si>
  <si>
    <t>26-1-6600-6</t>
  </si>
  <si>
    <t>Pune Training centre expansion</t>
  </si>
  <si>
    <t>26-1-6600-7</t>
  </si>
  <si>
    <t>26-1-6600-8</t>
  </si>
  <si>
    <t>26-1-6600-9</t>
  </si>
  <si>
    <t>Existing Training centre</t>
  </si>
  <si>
    <t>Contingency</t>
  </si>
  <si>
    <t>26-1-6600-10</t>
  </si>
  <si>
    <t>Warranty</t>
  </si>
  <si>
    <t>Parts Inspection &amp; Testing of warranty parts</t>
  </si>
  <si>
    <t>26-1-6300-1</t>
  </si>
  <si>
    <t>Forklift</t>
  </si>
  <si>
    <t>Old Forklift end of life approaching, new purchase for replacement @ GGN N2 WH</t>
  </si>
  <si>
    <t>5 MACHINERY,UTILITIES</t>
  </si>
  <si>
    <t>PARTS</t>
  </si>
  <si>
    <t>6300</t>
  </si>
  <si>
    <t>Spare Parts HO</t>
  </si>
  <si>
    <t>26-1-6300-2</t>
  </si>
  <si>
    <t>HPT (Hand Pallet truck)</t>
  </si>
  <si>
    <t>Old HPT end of life approaching, new purchase for replacement @ GGN N2 WH</t>
  </si>
  <si>
    <t>26-1-6300-3</t>
  </si>
  <si>
    <t>Manual Sweeper</t>
  </si>
  <si>
    <t>Hand Held floor mopping machine @ GGN N2 WH</t>
  </si>
  <si>
    <t>26-1-6300-4</t>
  </si>
  <si>
    <t>Cleaning Machine (Battery operated)</t>
  </si>
  <si>
    <t>Battery operated floor cleaning machine @ GGN N2 WH</t>
  </si>
  <si>
    <t>26-1-6300-5</t>
  </si>
  <si>
    <t>File cabinet</t>
  </si>
  <si>
    <t>Document storage cabinets @ GGN N2 WH</t>
  </si>
  <si>
    <t>Apr'26</t>
  </si>
  <si>
    <t>26-1-6300-6</t>
  </si>
  <si>
    <t>Conveyors (packing table)</t>
  </si>
  <si>
    <t>Packing table conveyors @ GGN N2 WH</t>
  </si>
  <si>
    <t>26-1-6300-7</t>
  </si>
  <si>
    <t>BOPT (Battery Operated Pallet Truck)</t>
  </si>
  <si>
    <t>BOPT for material movement @ GGN N2 WH</t>
  </si>
  <si>
    <t>26-1-6300-8</t>
  </si>
  <si>
    <t>Scissor lift</t>
  </si>
  <si>
    <t>Lift for unloading material from smaller vehicle @ GGN N2 WH</t>
  </si>
  <si>
    <t>26-1-6300-9</t>
  </si>
  <si>
    <t>Weighing scale (export)</t>
  </si>
  <si>
    <t>Weighment of export cases @ GGN N2 WH</t>
  </si>
  <si>
    <t>26-1-6300-10</t>
  </si>
  <si>
    <t>Electric Stapler (export)</t>
  </si>
  <si>
    <t>Corrugated export case preperation @ GGN N2 WH</t>
  </si>
  <si>
    <t>26-1-6300-11</t>
  </si>
  <si>
    <t>Dock leveller (export)</t>
  </si>
  <si>
    <t>For export container loading @ GGN N2 WH</t>
  </si>
  <si>
    <t>26-1-6300-12</t>
  </si>
  <si>
    <t>Order Picker (small)</t>
  </si>
  <si>
    <t>For order picking upto 3.5m @ GGN N2 WH</t>
  </si>
  <si>
    <t>26-1-6300-13</t>
  </si>
  <si>
    <t>For material movement inside warehouse @ BLR WH</t>
  </si>
  <si>
    <t>26-1-6300-14</t>
  </si>
  <si>
    <t>Aluminium Ladder</t>
  </si>
  <si>
    <t>For order picking upto 5m @ BLR WH</t>
  </si>
  <si>
    <t>26-1-6300-15</t>
  </si>
  <si>
    <t>Hand Held floor mopping machine @ BLR WH</t>
  </si>
  <si>
    <t>26-1-6300-16</t>
  </si>
  <si>
    <t>Battery operated floor cleaning machine @ BLR WH</t>
  </si>
  <si>
    <t>26-1-6300-17</t>
  </si>
  <si>
    <t>Scrap Yard</t>
  </si>
  <si>
    <t>For keeping Plastic &amp; General Waste @ BLR WH</t>
  </si>
  <si>
    <t>1 BUILDING</t>
  </si>
  <si>
    <t>26-1-6300-18</t>
  </si>
  <si>
    <t>Add on dock leveller (Hydraulic)</t>
  </si>
  <si>
    <t>Dispatch dock add on dock leveller @ BLR WH</t>
  </si>
  <si>
    <t>26-1-6300-19</t>
  </si>
  <si>
    <t>Dispatch dock add on dock leveller @ GGN N2 WH</t>
  </si>
  <si>
    <t>26-1-6300-20</t>
  </si>
  <si>
    <t>Land (Admin)</t>
  </si>
  <si>
    <t>Building Civil work</t>
  </si>
  <si>
    <t>Rental warehouse structure changes @ GGN N2 WH</t>
  </si>
  <si>
    <t>26-1-6300-21</t>
  </si>
  <si>
    <t>For keeping Corrugated, Plastic &amp; General Waste @ GGN N2 WH</t>
  </si>
  <si>
    <t>26-1-6300-22</t>
  </si>
  <si>
    <t>Furniture - Canteen</t>
  </si>
  <si>
    <t>For Canteen setup @ GGN N2 WH</t>
  </si>
  <si>
    <t>26-1-6300-23</t>
  </si>
  <si>
    <t>Furniture - Office</t>
  </si>
  <si>
    <t>For Office setup @ GGN N2 WH</t>
  </si>
  <si>
    <t>26-1-6300-24</t>
  </si>
  <si>
    <t>Furniture - Meeting Room</t>
  </si>
  <si>
    <t>For Meeting room setup @ GGN N2 WH</t>
  </si>
  <si>
    <t>26-1-6300-25</t>
  </si>
  <si>
    <t>Sealing Machine</t>
  </si>
  <si>
    <t>For Kit preperation @ GGN N2 WH</t>
  </si>
  <si>
    <t>26-1-6300-26</t>
  </si>
  <si>
    <t>Strapping Machine</t>
  </si>
  <si>
    <t>3 Old machine end of life approaching, new purchase for replacement @ GGN N2 WH</t>
  </si>
  <si>
    <t>26-1-6300-27</t>
  </si>
  <si>
    <t>Pigeon Net</t>
  </si>
  <si>
    <t>Pigeon net installation for 5S maintenance @ GGN N2 WH</t>
  </si>
  <si>
    <t>26-1-6300-28</t>
  </si>
  <si>
    <t>Die &amp; Jigs (for New Model)</t>
  </si>
  <si>
    <t>Tooling cost</t>
  </si>
  <si>
    <t>Tooling cost for accessories development of upcoming launches</t>
  </si>
  <si>
    <t>Oct'26</t>
  </si>
  <si>
    <t>26-1-2T60-1</t>
  </si>
  <si>
    <t>TESTING JIGS &amp; INSPECTION JIG</t>
  </si>
  <si>
    <t xml:space="preserve"> Inspection of parts of new/exisitng models
.Tensile Testing Fixture - 6 Nos. [Approx]
.Receiving gauge for Sheetmetal Parts.- 3 Nos [Approx]
Measuring instruments .
1.Vernier Caliper - 0-300 mm. X5 Nos.
2.Vernier Caliper - 0-200 mm.X5 Nos
3.Height Gauge - 0-300 mm &amp;  - 400 mm. X2 Nos
4.Dial Indicators - 10µ.X2 
5Other Miscellaneous</t>
  </si>
  <si>
    <t>PARTS INSPECTION</t>
  </si>
  <si>
    <t>SEP</t>
  </si>
  <si>
    <t>2T60</t>
  </si>
  <si>
    <t>PARTS INSPECTION (Indirect)</t>
  </si>
  <si>
    <t>26-1-2T60-2</t>
  </si>
  <si>
    <t>For Quality up</t>
  </si>
  <si>
    <t>QDA Upgradation</t>
  </si>
  <si>
    <t xml:space="preserve">
 QDA system for CKD lot inspection- Upgradation+ 6 new licence.</t>
  </si>
  <si>
    <t>OCT</t>
  </si>
  <si>
    <t>26-1-2T60-3</t>
  </si>
  <si>
    <t>Renewal Of Production Equipment</t>
  </si>
  <si>
    <t xml:space="preserve">Faro arm &amp; scanner </t>
  </si>
  <si>
    <t>New Faro arm for PI inspection activity(Existing Faro arm model obsolete need replacemnet- 12 Year old)</t>
  </si>
  <si>
    <t>DEC</t>
  </si>
  <si>
    <t>26-1-2T60-4</t>
  </si>
  <si>
    <t>Digitalization project(PPAP Process)</t>
  </si>
  <si>
    <t xml:space="preserve"> Digitalization activity for PI new model development(PPAP process) &amp; countermeasure(PACD)submission from suppliers</t>
  </si>
  <si>
    <t>26-2-2T60-1</t>
  </si>
  <si>
    <t>Increase in Production Capacity</t>
  </si>
  <si>
    <t>SMALL TOOL &amp; EQUIPMENTS -NEW PLANT</t>
  </si>
  <si>
    <t xml:space="preserve">Testing &amp; measuring instruments at new plant for upcoming &amp; Existing Models.
Measuring instruments.
1.Vernier Caliper - 0-300 mm. -    X 5 Nos
2.Vernier Caliper - 0-200 mm.      X 5 Nos
3.Height Gauge - 0-300 mm &amp;  - 400 mm.- X 3 Nos
4.Dial Indicators - 10µ. X 4 Nos
5.V Block -X 8 nos
6.Surface Table [1000X1000 mm] X 1 Nos.
7. Anti vibration table
8. Receiving inspection Jigs
9.Miscellaneous
</t>
  </si>
  <si>
    <t>Aug</t>
  </si>
  <si>
    <t>26-2-2T60-2</t>
  </si>
  <si>
    <t>UNIVERSAL TESTING MACHINE -NEW PLANT</t>
  </si>
  <si>
    <t>To measure destructive testing by Tensile Tests.</t>
  </si>
  <si>
    <t>26-2-2T60-3</t>
  </si>
  <si>
    <t>SST Chambers-NEW PLANT</t>
  </si>
  <si>
    <t>To check corrosion resistance of Plating/coating parts</t>
  </si>
  <si>
    <t>26-2-2T60-4</t>
  </si>
  <si>
    <t>PAINT THICKNESS TESTER -NEW PLANT</t>
  </si>
  <si>
    <t>To measure paint/Plating Thickness</t>
  </si>
  <si>
    <t>26-2-2T60-5</t>
  </si>
  <si>
    <t>Contamination tester-NEW PLANT</t>
  </si>
  <si>
    <t>To analyse contamination level in fuel tank &amp; Engine parts.</t>
  </si>
  <si>
    <t>26-2-2T60-6</t>
  </si>
  <si>
    <t>MICRO-VICKER HARDNESS TESTER - NEW PLANT</t>
  </si>
  <si>
    <t>to measure hardness of heat treated parts.</t>
  </si>
  <si>
    <t>26-2-2T60-7</t>
  </si>
  <si>
    <t>ROCKWELL HARDNESS TESTER-NEW PLANT</t>
  </si>
  <si>
    <t>26-2-2T60-8</t>
  </si>
  <si>
    <t>BRINELL HARDNESS TESTER -NEW PLANT</t>
  </si>
  <si>
    <t>26-2-2T60-9</t>
  </si>
  <si>
    <t>CUTTING MACHINE -NEW PLANT</t>
  </si>
  <si>
    <t>To cut samples for metallurgical inspection</t>
  </si>
  <si>
    <t>26-2-2T60-10</t>
  </si>
  <si>
    <t>POLISHING MACHINE -NEW PLANT</t>
  </si>
  <si>
    <t>To polish samples for metallurgical inspection</t>
  </si>
  <si>
    <t>26-2-2T60-11</t>
  </si>
  <si>
    <t>MOUNTING MACHINE -NEW PLANT</t>
  </si>
  <si>
    <t>To make mould for metallurgical inspection</t>
  </si>
  <si>
    <t>26-2-2T60-12</t>
  </si>
  <si>
    <t>ROUNDNESS TESTER [NEW PLANT]</t>
  </si>
  <si>
    <t>To measure roundness by Mitutoyo make tester</t>
  </si>
  <si>
    <t>26-2-2T60-13</t>
  </si>
  <si>
    <t>COORDINATE MEASURING MACHINE  -NEW PLANT</t>
  </si>
  <si>
    <t>For inspection by Mitutoyo</t>
  </si>
  <si>
    <t>26-2-2T60-14</t>
  </si>
  <si>
    <t>FORMTRACER[NEW PLANT]</t>
  </si>
  <si>
    <t>To measure profile by Mitutoyo make formtracer.</t>
  </si>
  <si>
    <t>26-2-2T60-15</t>
  </si>
  <si>
    <t>FARO ARM -NEW PLANT</t>
  </si>
  <si>
    <t>For parts dimensional measurement through 3D scanning system at new plant</t>
  </si>
  <si>
    <t>26-1-7621-1</t>
  </si>
  <si>
    <t>small Tools and Equipments</t>
  </si>
  <si>
    <t>Canon Disital camera</t>
  </si>
  <si>
    <t>MARKET QUALITY</t>
  </si>
  <si>
    <t>May</t>
  </si>
  <si>
    <t>7621</t>
  </si>
  <si>
    <t>MARKET QUALITY (Indirect)</t>
  </si>
  <si>
    <t>26-1-7621-2</t>
  </si>
  <si>
    <t>Improvement of work environment</t>
  </si>
  <si>
    <t xml:space="preserve">4-inch Bench vice </t>
  </si>
  <si>
    <t>Jun</t>
  </si>
  <si>
    <t>26-1-7621-3</t>
  </si>
  <si>
    <t>Quality Countermeasure</t>
  </si>
  <si>
    <t xml:space="preserve">SDS II - Suzuki diagnostic tool, </t>
  </si>
  <si>
    <t>26-1-G820-1</t>
  </si>
  <si>
    <t>Digitalisation &amp; automation</t>
  </si>
  <si>
    <t>QA-Vi divisional portal for VI process standards and documents</t>
  </si>
  <si>
    <t>FINAL INSPECTION (GURGAON)</t>
  </si>
  <si>
    <t>G820</t>
  </si>
  <si>
    <t>FINAL INSPECTION (Indirect)</t>
  </si>
  <si>
    <t>26-1-G820-2</t>
  </si>
  <si>
    <t>CO Analyser- MEXA 1300</t>
  </si>
  <si>
    <t>Replacement of Old CO Analyser- MEXA 1300 Make 2006</t>
  </si>
  <si>
    <t>26-1-G820-3</t>
  </si>
  <si>
    <t xml:space="preserve">Equipment for Automation </t>
  </si>
  <si>
    <t>Digital Kiosk for online Inspector training and evaluation</t>
  </si>
  <si>
    <t>26-1-G820-4</t>
  </si>
  <si>
    <t>office equipment's</t>
  </si>
  <si>
    <t>Foldable chairs- 20, For VI inspector training Dojo</t>
  </si>
  <si>
    <t>26-2-G820-1</t>
  </si>
  <si>
    <t>Small tools &amp; equipments- torque wrench, push pull gauge, vernier, tachometer</t>
  </si>
  <si>
    <t>FINAL INSPECTION</t>
  </si>
  <si>
    <t>26-2-G820-2</t>
  </si>
  <si>
    <t>VI Training center</t>
  </si>
  <si>
    <t>26-1-8300-1</t>
  </si>
  <si>
    <t>Computers used in office</t>
  </si>
  <si>
    <t>Laptop &amp; Desktop</t>
  </si>
  <si>
    <t>Desktop &amp; Laptop</t>
  </si>
  <si>
    <t>11 COMPUTERS</t>
  </si>
  <si>
    <t>IT</t>
  </si>
  <si>
    <t>Feb'27</t>
  </si>
  <si>
    <t>26-1-8300-2</t>
  </si>
  <si>
    <t>Network</t>
  </si>
  <si>
    <t>Network Equipment's Switch, HHT, Scanner,CCTV Camera &amp; TV</t>
  </si>
  <si>
    <t>8300</t>
  </si>
  <si>
    <t>EDP (IT)</t>
  </si>
  <si>
    <t>26-1-8300-3</t>
  </si>
  <si>
    <t>Software Licenses</t>
  </si>
  <si>
    <t>Microsoft Licenses</t>
  </si>
  <si>
    <t>26-1-8300-4</t>
  </si>
  <si>
    <t>Server</t>
  </si>
  <si>
    <t>Server &amp; Storage</t>
  </si>
  <si>
    <t>26-2-8300-5</t>
  </si>
  <si>
    <t>26-2-8300-6</t>
  </si>
  <si>
    <t>26-2-8300-7</t>
  </si>
  <si>
    <t>26-2-8300-8</t>
  </si>
  <si>
    <t>26-1-8100-1</t>
  </si>
  <si>
    <t>New Application for Manpower Budget</t>
  </si>
  <si>
    <t>For automation fo the process and reduce the chance of errors</t>
  </si>
  <si>
    <t>HR</t>
  </si>
  <si>
    <t>July'26</t>
  </si>
  <si>
    <t>8100</t>
  </si>
  <si>
    <t>Human Resource</t>
  </si>
  <si>
    <t>26-1-8100-2</t>
  </si>
  <si>
    <t xml:space="preserve">Licensed software for creating e-learning programme (scum files). </t>
  </si>
  <si>
    <t>For LMS modules creation</t>
  </si>
  <si>
    <t>26-1-8100-3</t>
  </si>
  <si>
    <t xml:space="preserve">AI tools for data analysis &amp; content writing : Chat GPT &amp; Copilot </t>
  </si>
  <si>
    <t>For content writing for LMS</t>
  </si>
  <si>
    <t>26-1-8100-4</t>
  </si>
  <si>
    <t>Adobe document editor for training content</t>
  </si>
  <si>
    <t>26-1-8100-5</t>
  </si>
  <si>
    <t>LMS customization</t>
  </si>
  <si>
    <t xml:space="preserve">For improvement of LMS </t>
  </si>
  <si>
    <t>26-1-8100-6</t>
  </si>
  <si>
    <t>FRS Machines</t>
  </si>
  <si>
    <t>17 Machine for Attendance+ 3 Machine for Door Access</t>
  </si>
  <si>
    <t>26-1-8100-7</t>
  </si>
  <si>
    <t xml:space="preserve">Almirah </t>
  </si>
  <si>
    <t>For Kharkhoda employee records</t>
  </si>
  <si>
    <t>26-1-2100-1</t>
  </si>
  <si>
    <t>Die &amp; Jigs (for Current Model)</t>
  </si>
  <si>
    <t>Repeat Tooling</t>
  </si>
  <si>
    <t>XF3P/XF3Q/XF18/XF19/XF1C/XF1D</t>
  </si>
  <si>
    <t>9 DIES</t>
  </si>
  <si>
    <t>Common model</t>
  </si>
  <si>
    <t>Purchase</t>
  </si>
  <si>
    <t>Aug'26 to Feb'27</t>
  </si>
  <si>
    <t>2100</t>
  </si>
  <si>
    <t>PURCHASE</t>
  </si>
  <si>
    <t>26-1-2100-2</t>
  </si>
  <si>
    <t>Capacity Enhancement</t>
  </si>
  <si>
    <t>XF3N/XF3P/XF18/XF19/XF1C/XF1D/XF12</t>
  </si>
  <si>
    <t>26-1-2100-3</t>
  </si>
  <si>
    <t>ECN (SCM)</t>
  </si>
  <si>
    <t>Common Models</t>
  </si>
  <si>
    <t>26-1-2100-4</t>
  </si>
  <si>
    <t>ECN (NM)</t>
  </si>
  <si>
    <t>26-1-2100-5</t>
  </si>
  <si>
    <t>Localization</t>
  </si>
  <si>
    <t>26-1-2100-6</t>
  </si>
  <si>
    <t>FMC</t>
  </si>
  <si>
    <t>XF0D1/Gixxer XF1H1/1J1/1K1/1L1/XF3L1</t>
  </si>
  <si>
    <t>26-1-2100-7</t>
  </si>
  <si>
    <t>MMC</t>
  </si>
  <si>
    <t>XF1D8/XF3P*/XF3N1/XF091/ABS</t>
  </si>
  <si>
    <t>26-1-2100-8</t>
  </si>
  <si>
    <t>Design &amp; Development</t>
  </si>
  <si>
    <t>XF09/XF0D1</t>
  </si>
  <si>
    <t>26-1-2100-9</t>
  </si>
  <si>
    <t>XF3P/XF3N</t>
  </si>
  <si>
    <t>26-1-2100-10</t>
  </si>
  <si>
    <t>Second Sourcing</t>
  </si>
  <si>
    <t>XF3P3/XF3P4/XF3P5</t>
  </si>
  <si>
    <t>26-1-2100-11</t>
  </si>
  <si>
    <t>MSIL</t>
  </si>
  <si>
    <t>Inhouse</t>
  </si>
  <si>
    <t>26-1-2100-12</t>
  </si>
  <si>
    <t>Casting/BOP</t>
  </si>
  <si>
    <t>26-1-2500-1</t>
  </si>
  <si>
    <t>Others (Prod.)</t>
  </si>
  <si>
    <t>Civil work for New Engineering Building</t>
  </si>
  <si>
    <t xml:space="preserve">Civil work for New Engineering Building for Service Training room, Vave Room, 3D Scaning Room, Creche, Finance record room, security room, safety cell, Server Room &amp; Training rooms </t>
  </si>
  <si>
    <t>2500</t>
  </si>
  <si>
    <t>Project &amp; Maint</t>
  </si>
  <si>
    <t>26-1-2500-2</t>
  </si>
  <si>
    <t>Utility work for New North Gate Building</t>
  </si>
  <si>
    <t>Utilities,Fire fighting infra &amp; AC for Engineering Building</t>
  </si>
  <si>
    <t>26-1-2500-3</t>
  </si>
  <si>
    <t>Building Repair &amp; Others</t>
  </si>
  <si>
    <t>1. To provide Civil infra against various PEB decided projects within financial year 26.
2.  To provide civil infra for CKD/Logistics/ Store related structure modification work with financial year.</t>
  </si>
  <si>
    <t>Sept'26</t>
  </si>
  <si>
    <t>26-1-2500-4</t>
  </si>
  <si>
    <t>Air Washer replacment</t>
  </si>
  <si>
    <t>As per life completion of Air washer machine / HVLS fans (as per applicability)</t>
  </si>
  <si>
    <t>26-1-2500-5</t>
  </si>
  <si>
    <t>New Jig storage area development</t>
  </si>
  <si>
    <t>•	Construction of Mezzanine and shifting the Electrical Panels to Mezzanine in New Weld Shop Area for Storage of Jigs alongwith all govt. approval</t>
  </si>
  <si>
    <t>26-1-2500-6</t>
  </si>
  <si>
    <t>Production process improvement</t>
  </si>
  <si>
    <t>•	Construction of New Shed &amp; provision of necessary utility for Installation of Fluidized Sand Bed for Paint Shop Jig Stripping Equipment</t>
  </si>
  <si>
    <t>26-1-2500-7</t>
  </si>
  <si>
    <t>•	Construction of New Shed &amp; provision of necessary utility for Storage of Welding Jigs &amp; Injection Molds</t>
  </si>
  <si>
    <t>26-1-2500-8</t>
  </si>
  <si>
    <r>
      <t xml:space="preserve">3 Deck Scissor Lift – </t>
    </r>
    <r>
      <rPr>
        <b/>
        <sz val="8"/>
        <color theme="1"/>
        <rFont val="Arial"/>
        <family val="2"/>
      </rPr>
      <t>7 nos</t>
    </r>
    <r>
      <rPr>
        <sz val="8"/>
        <color theme="1"/>
        <rFont val="Arial"/>
        <family val="2"/>
      </rPr>
      <t xml:space="preserve"> (Kulana W/H ).+1 Ggn Plant </t>
    </r>
  </si>
  <si>
    <t>June'26</t>
  </si>
  <si>
    <t>26-1-2500-9</t>
  </si>
  <si>
    <t>Batteries (Forklift-02 Nos )</t>
  </si>
  <si>
    <t>26-1-2500-10</t>
  </si>
  <si>
    <t>Utility &amp; Civil project work for PE deptt approved new production machinaries suppoprt work. 
1. Acoustic chamber AC Change(Line 1- 2,line 2- 2 line 3- 2)
2. Appearance inspection bench with canopy in VI area
3. Weld/ Press - Scooter line 04 - 2 Nos. to be provided utility work e.g. air washer ducts, new compressed air points, elec. Supply work etc. 
4. Weld/ Press - laser inspection,conveyorized system,Fume exhaust EC fans
5. Mold Shop- Mold descaling machine 
6.MFI testing M/C, Surface table
7. Paint Shop - Hot water generator for tank line ,  frame line 01 &amp; 02
8.Paint Shop - Fumes exhaust capacity up
9.Paint Shop - Booth sludge cleaning automation
10. Paint Shop - Tank line preparation to primer booth 
11.Paint Shop - Oil separation system
12. Other similar projects for VI, Assembly area related PE projects</t>
  </si>
  <si>
    <t>26-1-2500-11</t>
  </si>
  <si>
    <t>Disaster Preparation</t>
  </si>
  <si>
    <t xml:space="preserve">EHS </t>
  </si>
  <si>
    <t>Purchase of New Fire Extinguishers for new added areas, new warehouse, new north gate building and replacement of old FE.</t>
  </si>
  <si>
    <t>26-1-2500-12</t>
  </si>
  <si>
    <t>Overhead laying of fire hydrant pipe lines across all plant area which replaces the the old underneath and corroded hydrant lines as per new approved fire scheme.</t>
  </si>
  <si>
    <t>26-1-2500-13</t>
  </si>
  <si>
    <t>Purchase of new SCBA (self-contained breathing apparatus) 2 Nos and 2 fire suits in replacement of damaged one.</t>
  </si>
  <si>
    <t>26-1-2500-14</t>
  </si>
  <si>
    <t>Installation of Beam detector for main plant assembly areas whereever the fire detectors are not possible to install.</t>
  </si>
  <si>
    <t>26-1-2500-15</t>
  </si>
  <si>
    <t>Installation of Kitchen suppression system on Hoods in canteen area as per GRM guidelines.</t>
  </si>
  <si>
    <t>26-1-2500-16</t>
  </si>
  <si>
    <t>Installation CO2 suppression system in panels to enhance the fire safety at utility area.</t>
  </si>
  <si>
    <t>26-1-2500-17</t>
  </si>
  <si>
    <t>Digitalization of PTW (Permit To Work), safety management portal, visitor management system and istallation of 2 Kiosk machine for training.</t>
  </si>
  <si>
    <t>26-1-2500-18</t>
  </si>
  <si>
    <t>EHS</t>
  </si>
  <si>
    <t>Installation of Emergency Hooters in plant which helps to declare the emergency.</t>
  </si>
  <si>
    <t>26-1-2500-19</t>
  </si>
  <si>
    <t>Environmental Protection Measures</t>
  </si>
  <si>
    <t>Instllation of Screw Press machine for segregrating of ETP and STP Sludge</t>
  </si>
  <si>
    <t>26-1-2500-20</t>
  </si>
  <si>
    <t>Installation of Sludge Dryer for controlling higher mositure content in ETP Sludge</t>
  </si>
  <si>
    <t>26-1-2500-21</t>
  </si>
  <si>
    <t>Conversion of Safety Cell into Emergency Control Center of plant.</t>
  </si>
  <si>
    <t>26-1-2500-22</t>
  </si>
  <si>
    <t>Civil and Utilities requirement in N2 warehouse sidrawali for SMIPL</t>
  </si>
  <si>
    <t>26-1-2500-23</t>
  </si>
  <si>
    <t>Scissor Lift</t>
  </si>
  <si>
    <t>For replacement</t>
  </si>
  <si>
    <t>26-1-2500-24</t>
  </si>
  <si>
    <t>NEW</t>
  </si>
  <si>
    <t>26-1-2500-25</t>
  </si>
  <si>
    <t>Weighing Machine</t>
  </si>
  <si>
    <t>26-1-2500-26</t>
  </si>
  <si>
    <t>Weighing machine</t>
  </si>
  <si>
    <t>New for increased production - Weighing machine - 04
Replacement of old machines - Weighing machine - 03</t>
  </si>
  <si>
    <t>PKC</t>
  </si>
  <si>
    <t>26-1-2500-27</t>
  </si>
  <si>
    <t>UPS</t>
  </si>
  <si>
    <t>UPS - For CKD01 &amp; 2 &amp; SPD packing - System backup</t>
  </si>
  <si>
    <t>26-1-2500-28</t>
  </si>
  <si>
    <t>Forklift battery</t>
  </si>
  <si>
    <t>Forklift Battery - Spare for CKD</t>
  </si>
  <si>
    <t>26-1-2500-29</t>
  </si>
  <si>
    <t>Forklift Battery -Big -  Spare for CBU</t>
  </si>
  <si>
    <t>26-1-2500-30</t>
  </si>
  <si>
    <t>Procurement, installation &amp; commissioning of Diesel generator for CPCB compliant</t>
  </si>
  <si>
    <t>Back power source (during power cut) required as per increased plant load</t>
  </si>
  <si>
    <t>26-1-2500-31</t>
  </si>
  <si>
    <t xml:space="preserve">Water cooler / AC / Chiller (ED &amp; IJM) / WTP projects ( New RO/Upgradation of existing RO etc.) </t>
  </si>
  <si>
    <t xml:space="preserve">ETP revamp, WTP (RO new &amp; upgrade),mixed DM unit upgrade, New DM water system, Paint ED &amp; IJM chiller replacement, water cooler etc. </t>
  </si>
  <si>
    <t>26-2-2500-1</t>
  </si>
  <si>
    <t>New Plant</t>
  </si>
  <si>
    <t>Body factory equipment</t>
  </si>
  <si>
    <t>26-2-2500-2</t>
  </si>
  <si>
    <t>EG Assembly line 
( in body factory building )</t>
  </si>
  <si>
    <t>XF3P1</t>
  </si>
  <si>
    <t>26-2-2500-3</t>
  </si>
  <si>
    <t xml:space="preserve">Body Factory Building (Civil &amp; Utility)
</t>
  </si>
  <si>
    <t>26-2-2500-4</t>
  </si>
  <si>
    <t>HR, Admin, GA, Vigilance</t>
  </si>
  <si>
    <t>26-2-2500-5</t>
  </si>
  <si>
    <t>PKC, (Plant Kaizen and Control)</t>
  </si>
  <si>
    <t>26-1-2400-01</t>
  </si>
  <si>
    <t>CNC tube Bender machine replacement</t>
  </si>
  <si>
    <t>PEB</t>
  </si>
  <si>
    <t>2400</t>
  </si>
  <si>
    <t>Manuf. Engineering</t>
  </si>
  <si>
    <t>26-1-2400-02</t>
  </si>
  <si>
    <t>XF1H1/XF181, XF1K1/XF1C1, XF1L1/XF1D1, XF1J1/XF191, XF3L1/XF3T</t>
  </si>
  <si>
    <t>Frame welding jigs.</t>
  </si>
  <si>
    <t>26-1-2400-03</t>
  </si>
  <si>
    <t>Frame upper comp. model Press Dies.</t>
  </si>
  <si>
    <t>26-1-2400-04</t>
  </si>
  <si>
    <t>SWG arm welding jigs.</t>
  </si>
  <si>
    <t>26-1-2400-05</t>
  </si>
  <si>
    <t xml:space="preserve">Replacement of two half-frame robotic cells with new robotic cells in scooter line-4 </t>
  </si>
  <si>
    <t>26-1-2400-06</t>
  </si>
  <si>
    <t>Poka-Yoke through Automation</t>
  </si>
  <si>
    <t>Welding inspection through Laser</t>
  </si>
  <si>
    <t>26-1-2400-07</t>
  </si>
  <si>
    <t>Automation</t>
  </si>
  <si>
    <t>Automatic Servo Revise JIG, XF3P1, XF091, XF0A1- Model</t>
  </si>
  <si>
    <t>26-1-2400-08</t>
  </si>
  <si>
    <t>Weld Shop-New EC Plus fan with noise suppressor</t>
  </si>
  <si>
    <t>EC fan installation for line - 
1. SWG ARM 
2. Scooter line 05</t>
  </si>
  <si>
    <t>26-1-2400-09</t>
  </si>
  <si>
    <t>Digitalization  and data monitoring for XF3P1- model.</t>
  </si>
  <si>
    <t>Traceability</t>
  </si>
  <si>
    <t>26-1-2400-10</t>
  </si>
  <si>
    <t>Chipping, buffing, sanding station through transfer system</t>
  </si>
  <si>
    <t>It eliminates heavy lifting and manual transfers and handling, reducing operator fatigue and injury risk.</t>
  </si>
  <si>
    <t>26-1-2400-11</t>
  </si>
  <si>
    <t>Rationalization</t>
  </si>
  <si>
    <t>Weld shop -MAG Welding machines
(model -KRII-350 Panasonic)</t>
  </si>
  <si>
    <t>26-1-2400-12</t>
  </si>
  <si>
    <t>Weld shop -Pitch gauges for current models</t>
  </si>
  <si>
    <t>26-1-2400-13</t>
  </si>
  <si>
    <t>Semi electric stacker</t>
  </si>
  <si>
    <t>26-1-2400-14</t>
  </si>
  <si>
    <t>Weld Shop-Centralized system for EC fan</t>
  </si>
  <si>
    <t>Weld Shop- 2 New EC Plus Fans and Centralized  control system</t>
  </si>
  <si>
    <t>26-1-2400-15</t>
  </si>
  <si>
    <t>Fender comp.  Press Dies, Model-XF3Z*/XF3P*</t>
  </si>
  <si>
    <t>26-1-2400-16</t>
  </si>
  <si>
    <t>XF3L1 - Model development (New UB)</t>
  </si>
  <si>
    <t>26-1-2400-17</t>
  </si>
  <si>
    <t>XF0D1 Weld / Press Shop</t>
  </si>
  <si>
    <t>Frame welding jigs, Press Dies &amp; SWG arm welding jigs</t>
  </si>
  <si>
    <t>26-1-2400-18</t>
  </si>
  <si>
    <t>Mold Shop-Copy mold of existing model</t>
  </si>
  <si>
    <t>Dec'26</t>
  </si>
  <si>
    <t>26-1-2400-19</t>
  </si>
  <si>
    <t>Repairing in existing molds</t>
  </si>
  <si>
    <t>Mold Shop- Repairing of Existing molds.</t>
  </si>
  <si>
    <t>Mar'27</t>
  </si>
  <si>
    <t>26-1-2400-20</t>
  </si>
  <si>
    <t>ECN in existing molds</t>
  </si>
  <si>
    <t>Mold Shop- ECN modification for existing</t>
  </si>
  <si>
    <t>26-1-2400-21</t>
  </si>
  <si>
    <t>Descaling of molds</t>
  </si>
  <si>
    <t>Mold Shop- Mold descaling machine (air water base)</t>
  </si>
  <si>
    <t>26-1-2400-22</t>
  </si>
  <si>
    <t>Floor epoxy</t>
  </si>
  <si>
    <t xml:space="preserve">Mold Shop- Floor epoxy </t>
  </si>
  <si>
    <t>26-1-2400-23</t>
  </si>
  <si>
    <t xml:space="preserve">Online granulator </t>
  </si>
  <si>
    <t>Mold Shop- Granulator for runner regrind on all 9 machine</t>
  </si>
  <si>
    <t>Sep'26</t>
  </si>
  <si>
    <t>26-1-2400-24</t>
  </si>
  <si>
    <t>Online runner cutting</t>
  </si>
  <si>
    <t>Mold Shop- Auto degating of Plastic molded parts.</t>
  </si>
  <si>
    <t>26-1-2400-25</t>
  </si>
  <si>
    <t>Measuring Equipments</t>
  </si>
  <si>
    <t>Mold Shop- MFI testing M/C, Surface table, height gauge etc</t>
  </si>
  <si>
    <t>26-1-2400-26</t>
  </si>
  <si>
    <t>Die cart  automation</t>
  </si>
  <si>
    <t>Mold shop- Automated die cart for mold shifting</t>
  </si>
  <si>
    <t>26-1-2400-27</t>
  </si>
  <si>
    <t>XF1H1/ XF1K1/XF1L1/ XF1J1 new model molds and fixtures</t>
  </si>
  <si>
    <t>Mould shop- XF1H1/ XF1K1/XF1L1/ XF1J1 Injection Mould and checking fixtures</t>
  </si>
  <si>
    <t>26-1-2400-28</t>
  </si>
  <si>
    <t>XF0D1 new model molds and fixtures</t>
  </si>
  <si>
    <t>Mould shop- XF0D1 Injection Mould and checking fixtures</t>
  </si>
  <si>
    <t>26-1-2400-29</t>
  </si>
  <si>
    <t>XF3L1 new model molds and fixtures</t>
  </si>
  <si>
    <t>Mould shop- XF3L1 Injection Mould and checking fixtures</t>
  </si>
  <si>
    <t>26-1-2400-30</t>
  </si>
  <si>
    <t>Plant &amp; Machinery</t>
  </si>
  <si>
    <t xml:space="preserve">Paint Shop - ASU of Platsic line 01 &amp; Its deck replacement </t>
  </si>
  <si>
    <t>26-1-2400-31</t>
  </si>
  <si>
    <t>Carbon neutral</t>
  </si>
  <si>
    <t>Paint Shop - Steam elimination-Hot water generator for tank line ,  frame line 01 &amp; 02</t>
  </si>
  <si>
    <t>Jun'26</t>
  </si>
  <si>
    <t>26-1-2400-32</t>
  </si>
  <si>
    <t xml:space="preserve">Paint Shop - Fumes exhaust capacity up for Tank line &amp; Frame line 01 &amp; 02 </t>
  </si>
  <si>
    <t>26-1-2400-33</t>
  </si>
  <si>
    <t>Paint Shop - 2KS unit addition at PL 01 &amp; PL 02</t>
  </si>
  <si>
    <t>26-1-2400-34</t>
  </si>
  <si>
    <t>Paint Shop - Booth sludge cleaning automation</t>
  </si>
  <si>
    <t>26-1-2400-35</t>
  </si>
  <si>
    <t xml:space="preserve">Paint Shop - Tank line preparation to primer booth </t>
  </si>
  <si>
    <t>26-1-2400-36</t>
  </si>
  <si>
    <t>Paint Shop - Process digitilisation Andon system in PL1 &amp; 2.</t>
  </si>
  <si>
    <t>26-1-2400-37</t>
  </si>
  <si>
    <t>Paint Shop - Oil separation system for frame line 02</t>
  </si>
  <si>
    <t>26-1-2400-38</t>
  </si>
  <si>
    <t xml:space="preserve">Paint Shop - Primer painting robots - PL3 &amp; TL </t>
  </si>
  <si>
    <t>26-1-2400-39</t>
  </si>
  <si>
    <t xml:space="preserve">Paint Shop - Anode, UF membrane for Frame line 01 &amp; 02 </t>
  </si>
  <si>
    <t>26-1-2400-40</t>
  </si>
  <si>
    <t>Paint Shop - VOC monitoring system for paintshop</t>
  </si>
  <si>
    <t>26-1-2400-41</t>
  </si>
  <si>
    <t xml:space="preserve">Paint Shop - Quality upgradation-Hot water rinse addtion at Frame line 01 </t>
  </si>
  <si>
    <t>26-1-2400-42</t>
  </si>
  <si>
    <t>Paint Shop - Chemical feeding system improvement for FL 01 &amp; 02 -Paintshop</t>
  </si>
  <si>
    <t>26-1-2400-43</t>
  </si>
  <si>
    <t>Paint Shop - Frame unloading equipment at frame line 02</t>
  </si>
  <si>
    <t>26-1-2400-44</t>
  </si>
  <si>
    <t xml:space="preserve">Paint Shop - Jig stripping Sand blasting machine -paintshop </t>
  </si>
  <si>
    <t>26-1-2400-45</t>
  </si>
  <si>
    <t>Paint Shop - Pneumatic pumps conversion into Electric pumps</t>
  </si>
  <si>
    <t>26-1-2400-46</t>
  </si>
  <si>
    <t>Paint Shop - New Painting electrostatic Guns</t>
  </si>
  <si>
    <t>26-1-2400-47</t>
  </si>
  <si>
    <t>Paint Shop - PUMPS for ED process</t>
  </si>
  <si>
    <t>26-1-2400-48</t>
  </si>
  <si>
    <t>Paint Shop - Regenerative Thermal Oxidizers (RTOs) for Paint Shop</t>
  </si>
  <si>
    <t>26-1-2400-49</t>
  </si>
  <si>
    <t>Part Tracebility Improvement</t>
  </si>
  <si>
    <t>Assembly - Part Traceability on Line-03 to Eliminate Model Mismatch Issue, Wrong Part Assembly Poka-yoke, Reports Generation for Back Tracing &amp; Better Decision making.</t>
  </si>
  <si>
    <t>26-1-2400-50</t>
  </si>
  <si>
    <t>Machine Parameter Tracebility Improvement</t>
  </si>
  <si>
    <t>Assembly - Machine Integration Assembly Line-02- Quality Assurance, Process Interlock, Reports Generation for Back Tracing &amp; Better Decision making.</t>
  </si>
  <si>
    <t>26-1-2400-51</t>
  </si>
  <si>
    <t>Tightening Improvement</t>
  </si>
  <si>
    <t>Assembly - Tightening Improvement Program - Tool replacement, CLW, FHW, FDD implemenation, DC Nut runner for Maru-A and Critical operations (Line 1, 3)</t>
  </si>
  <si>
    <t>26-1-2400-52</t>
  </si>
  <si>
    <t>Digitalization</t>
  </si>
  <si>
    <t>Assembly - Image Management Assembly Line-04: Reduce Manual Efforts, Easy Back Tracing.</t>
  </si>
  <si>
    <t>26-1-2400-53</t>
  </si>
  <si>
    <t>Part Tracebility Improvement &amp; Digitalization</t>
  </si>
  <si>
    <t>Assembly - Sub Assembly Integration &amp; Part Traceability along with Separate Andon System</t>
  </si>
  <si>
    <t>26-1-2400-54</t>
  </si>
  <si>
    <t>Poka-Yoke &amp; Digitalization</t>
  </si>
  <si>
    <t>VI - Human Action Monitoring System for VI Lines &amp; PQC (6 nos. VI Conveyor + 1 no. PQC)</t>
  </si>
  <si>
    <t>26-1-2400-55</t>
  </si>
  <si>
    <t xml:space="preserve">Assembly - DC nut runner for tightening of ABS bolts </t>
  </si>
  <si>
    <t xml:space="preserve">Oct'26 </t>
  </si>
  <si>
    <t>26-1-2400-56</t>
  </si>
  <si>
    <t>Replacement of Life Over Equipment</t>
  </si>
  <si>
    <t>VI -Replacement  brake tester VI Line-1 (LHS )</t>
  </si>
  <si>
    <t xml:space="preserve">Sept'26 </t>
  </si>
  <si>
    <t>26-1-2400-57</t>
  </si>
  <si>
    <t xml:space="preserve">Assembly - New race pressing/VIN punching machine Line-2 with vision system </t>
  </si>
  <si>
    <t>26-1-2400-58</t>
  </si>
  <si>
    <t xml:space="preserve">Automation </t>
  </si>
  <si>
    <t>Assembly - Replacement of Manual Conveyor to Power &amp; Free Conveyor for Engine Middle Line-1</t>
  </si>
  <si>
    <t>26-1-2400-59</t>
  </si>
  <si>
    <t xml:space="preserve">Assembly - System for process and part fitment confirmation on line-1/2/3 - sub assy poke-yoke </t>
  </si>
  <si>
    <t>26-1-2400-60</t>
  </si>
  <si>
    <t>Poka-Yoke</t>
  </si>
  <si>
    <t xml:space="preserve">Assembly - Digital torque wrenches for line-2 for inspection </t>
  </si>
  <si>
    <t>26-1-2400-61</t>
  </si>
  <si>
    <t>Assembly - Vision camera for label confirmation for line-1</t>
  </si>
  <si>
    <t>Jan'27</t>
  </si>
  <si>
    <t>26-1-2400-62</t>
  </si>
  <si>
    <t>Assembly - ANDON display LED TV for Line-1</t>
  </si>
  <si>
    <t>26-1-2400-63</t>
  </si>
  <si>
    <t>Assembly - New digital torque master for calibration @ 01% accuracy</t>
  </si>
  <si>
    <t>26-1-2400-64</t>
  </si>
  <si>
    <t>Assembly - Vehicle tracking system (VTS)</t>
  </si>
  <si>
    <t>26-1-2400-65</t>
  </si>
  <si>
    <t>VI - Inspection results machine data analysis, trend &amp; alerts( Brake force tester)</t>
  </si>
  <si>
    <t>26-1-2400-66</t>
  </si>
  <si>
    <t>Machinery Equipment for New Model</t>
  </si>
  <si>
    <t>VI -XF0G1 battery arrangement and charger setup</t>
  </si>
  <si>
    <t>26-1-2400-67</t>
  </si>
  <si>
    <t>VI - Laser Based Inspection tool for the body clearance check (line-2)</t>
  </si>
  <si>
    <t>26-1-2400-68</t>
  </si>
  <si>
    <t xml:space="preserve">VI - Handle Bar Alignment check through automation </t>
  </si>
  <si>
    <t>26-1-2400-69</t>
  </si>
  <si>
    <t>VI - Rear Brake lamp check through automation for N00 Models</t>
  </si>
  <si>
    <t>26-1-2400-70</t>
  </si>
  <si>
    <t>Assembly - Video and Photo Capturing automatically at Line4 and Line 5 and new model Currently we are doing mannually</t>
  </si>
  <si>
    <t>26-1-2400-71</t>
  </si>
  <si>
    <t xml:space="preserve">VI - Dynometer controlling, PC required Station wise for Line 3 </t>
  </si>
  <si>
    <t>26-1-2400-72</t>
  </si>
  <si>
    <t xml:space="preserve">Assembly - New SDS Tool Required  - 8 nos </t>
  </si>
  <si>
    <t>26-1-2400-73</t>
  </si>
  <si>
    <t>Assembly shop- Quality improvement</t>
  </si>
  <si>
    <t xml:space="preserve">Assembly shop -ECN implementation in existing models for new machine or modification </t>
  </si>
  <si>
    <t>26-1-T520-1</t>
  </si>
  <si>
    <t xml:space="preserve">Jigs &amp; Fixture </t>
  </si>
  <si>
    <t>Jigs &amp; Fixture for XF3P model</t>
  </si>
  <si>
    <t>PE Engine</t>
  </si>
  <si>
    <t>Feb.</t>
  </si>
  <si>
    <t>T520</t>
  </si>
  <si>
    <t>ENGINE Shop (Indirect)</t>
  </si>
  <si>
    <t>26-1-T520-2</t>
  </si>
  <si>
    <t xml:space="preserve">Engine Assembly - DC tools &amp; Electric Tightening Tools </t>
  </si>
  <si>
    <t>Tightening tool for XF3P model and trials for Kharkhoda Plant</t>
  </si>
  <si>
    <t>Mar.</t>
  </si>
  <si>
    <t>26-1-T520-3</t>
  </si>
  <si>
    <t>Miscellaneous improvement activities</t>
  </si>
  <si>
    <t>For Engine Assembly line</t>
  </si>
  <si>
    <t>Jan.</t>
  </si>
  <si>
    <t>26-1-T520-4</t>
  </si>
  <si>
    <t>For quality improvement</t>
  </si>
  <si>
    <t>Auto inpection and Vision System for engine assembly</t>
  </si>
  <si>
    <t>26-1-T520-5</t>
  </si>
  <si>
    <t>Torque Pokayoke &amp; traceability system</t>
  </si>
  <si>
    <t>Engine Assembly - Torque Pokayoke &amp; traceability system</t>
  </si>
  <si>
    <t>26-1-T520-6</t>
  </si>
  <si>
    <t xml:space="preserve">Trollies &amp; material handling </t>
  </si>
  <si>
    <t>FG Engine Storage &amp; Transfer Trolley</t>
  </si>
  <si>
    <t>26-1-T520-7</t>
  </si>
  <si>
    <t>Tow truck (Battery operated)</t>
  </si>
  <si>
    <t>MATERIAL SUPPLY (GURGAON)</t>
  </si>
  <si>
    <t>26-2-T520-8</t>
  </si>
  <si>
    <t>Budget for new plant engine line set-up</t>
  </si>
  <si>
    <t>Machinary and equipment for new plant</t>
  </si>
  <si>
    <t>Sep.</t>
  </si>
  <si>
    <t>26-1-2107-1</t>
  </si>
  <si>
    <t>Plastic Wste Compression Machine</t>
  </si>
  <si>
    <t>Waste management</t>
  </si>
  <si>
    <t>2107</t>
  </si>
  <si>
    <t>Plant Kaizen (Indirect)</t>
  </si>
  <si>
    <t>26-1-2107-2</t>
  </si>
  <si>
    <t>Material Hardening Machine</t>
  </si>
  <si>
    <t xml:space="preserve">For increase Jig , fixture, pin strength </t>
  </si>
  <si>
    <t>26-1-2107-3</t>
  </si>
  <si>
    <t>Machinery  Equipment for New Model</t>
  </si>
  <si>
    <t>Lockers</t>
  </si>
  <si>
    <t xml:space="preserve">Worker locker, fabricated type with 12 compartment . </t>
  </si>
  <si>
    <t>26-1-2107-4</t>
  </si>
  <si>
    <t>Rest area 2-seater</t>
  </si>
  <si>
    <t>Rest area 2 seater for plant renovation</t>
  </si>
  <si>
    <t>26-1-2107-5</t>
  </si>
  <si>
    <t>Welding ,cutting &amp; other tools</t>
  </si>
  <si>
    <t>Welding, cutting &amp; other tools</t>
  </si>
  <si>
    <t>26-1-2107-6</t>
  </si>
  <si>
    <t>Sealing machine</t>
  </si>
  <si>
    <t>Sealing machine - SPD packing</t>
  </si>
  <si>
    <t>26-1-2107-7</t>
  </si>
  <si>
    <t>Rust Testing machine</t>
  </si>
  <si>
    <t>Quality Up</t>
  </si>
  <si>
    <t>26-1-2107-8</t>
  </si>
  <si>
    <t>Vibration tester machine</t>
  </si>
  <si>
    <t>26-2-2107-1</t>
  </si>
  <si>
    <t>For Volume up</t>
  </si>
  <si>
    <t>For New Plant</t>
  </si>
  <si>
    <t>Chutes, conveyors, trollies for Press, Weld, Paint , Moulding ,Assy.  &amp; CKD .</t>
  </si>
  <si>
    <t>June</t>
  </si>
  <si>
    <t>26-2-2107-2</t>
  </si>
  <si>
    <t>Arc welding machine</t>
  </si>
  <si>
    <t>July</t>
  </si>
  <si>
    <t>26-2-2107-3</t>
  </si>
  <si>
    <t>Renewal</t>
  </si>
  <si>
    <t xml:space="preserve"> Lockers for production department (15 compartment)</t>
  </si>
  <si>
    <t>August</t>
  </si>
  <si>
    <t>26-2-2107-4</t>
  </si>
  <si>
    <t>2-seater for rest area</t>
  </si>
  <si>
    <t>26-2-2107-5</t>
  </si>
  <si>
    <t xml:space="preserve">Weighing machine hardware store </t>
  </si>
  <si>
    <t>26-2-2107-6</t>
  </si>
  <si>
    <t xml:space="preserve">Milling machine for tool room </t>
  </si>
  <si>
    <t>26-2-2107-7</t>
  </si>
  <si>
    <t xml:space="preserve">Lathe machine for tool room </t>
  </si>
  <si>
    <t>26-2-2107-8</t>
  </si>
  <si>
    <t xml:space="preserve">Cylindrical  grinding machine for tool room </t>
  </si>
  <si>
    <t>26-2-2107-9</t>
  </si>
  <si>
    <t xml:space="preserve">Surface grinding  machine for tool room </t>
  </si>
  <si>
    <t>26-2-2107-10</t>
  </si>
  <si>
    <t>Capacity 3/4 Inch Drilling machine for Tool Room &amp; Kaizen  purpose</t>
  </si>
  <si>
    <t>26-2-2107-11</t>
  </si>
  <si>
    <t>Plasma Cutting machine</t>
  </si>
  <si>
    <t>26-2-2107-12</t>
  </si>
  <si>
    <t>Horizontal metal band saw cutting machine</t>
  </si>
  <si>
    <t>26-2-2107-13</t>
  </si>
  <si>
    <t>Bench vice for Kaizen work</t>
  </si>
  <si>
    <t>26-2-2107-14</t>
  </si>
  <si>
    <t>Bench Grinding Machine</t>
  </si>
  <si>
    <t>AUG</t>
  </si>
  <si>
    <t>26-2-2107-16</t>
  </si>
  <si>
    <r>
      <t>3 ton capacity (diesel operated ,with 360</t>
    </r>
    <r>
      <rPr>
        <sz val="11"/>
        <color rgb="FF000000"/>
        <rFont val="Agency FB"/>
        <family val="2"/>
      </rPr>
      <t>˚</t>
    </r>
    <r>
      <rPr>
        <sz val="8"/>
        <color rgb="FF000000"/>
        <rFont val="Arial"/>
        <family val="2"/>
      </rPr>
      <t xml:space="preserve"> fork rotation</t>
    </r>
    <r>
      <rPr>
        <sz val="11"/>
        <color rgb="FF000000"/>
        <rFont val="Arial"/>
        <family val="2"/>
      </rPr>
      <t xml:space="preserve"> ,</t>
    </r>
    <r>
      <rPr>
        <sz val="8"/>
        <color rgb="FF000000"/>
        <rFont val="Arial"/>
        <family val="2"/>
      </rPr>
      <t>side shifter, with standard fork length ,for press shop &amp;  scrap loading / un loading purpose).</t>
    </r>
  </si>
  <si>
    <t xml:space="preserve">Aug </t>
  </si>
  <si>
    <t>26-2-2107-20</t>
  </si>
  <si>
    <t>For CKD</t>
  </si>
  <si>
    <t xml:space="preserve">Tools &amp; Equipment’s </t>
  </si>
  <si>
    <t>CKD</t>
  </si>
  <si>
    <t>26-2-2107-21</t>
  </si>
  <si>
    <t xml:space="preserve">For Tool room </t>
  </si>
  <si>
    <t xml:space="preserve">Surface table &amp; Height gauge for tool room inspection purpose </t>
  </si>
  <si>
    <t>26-1-2200-1</t>
  </si>
  <si>
    <t>Material Issuance through Scanning System</t>
  </si>
  <si>
    <t>For quality upgradation &amp; Wrong supply control.
1) Right part at right location with proper part matching
2) To reduce wrong supply.</t>
  </si>
  <si>
    <t>PPC</t>
  </si>
  <si>
    <t>2200</t>
  </si>
  <si>
    <t>26-1-2200-2</t>
  </si>
  <si>
    <t>Delivery Truck Management System (Software &amp; Hardware)</t>
  </si>
  <si>
    <t>To manage traffic congestion, Realtime tracking &amp; truck placement at Dock. &amp; Improve TAT. 
(Considering  YoY supplier delivery truck increasing. 
To proper optimization of available resources)</t>
  </si>
  <si>
    <t>26-1-2200-3</t>
  </si>
  <si>
    <t>Packing material management system</t>
  </si>
  <si>
    <t>To digitalize packing material ordering &amp; inventory tracking</t>
  </si>
  <si>
    <t>26-1-8200-1</t>
  </si>
  <si>
    <t>FD Investment Software</t>
  </si>
  <si>
    <t>Automation of FD Placement, Accured Calculation</t>
  </si>
  <si>
    <t>FIN</t>
  </si>
  <si>
    <t>Finance</t>
  </si>
  <si>
    <t>26-1-8200-2</t>
  </si>
  <si>
    <t>Online portal of Service Camp/Training /Other Mkt  claims like JPS BTL</t>
  </si>
  <si>
    <t>26-1-8200-3</t>
  </si>
  <si>
    <t>Document digitization program</t>
  </si>
  <si>
    <t>26-1-8200-4</t>
  </si>
  <si>
    <t>Storage enhancement in SAP</t>
  </si>
  <si>
    <t>26-1-8200-5</t>
  </si>
  <si>
    <t>Initial Royalty (XF3N1)</t>
  </si>
  <si>
    <t>Initial Royalty for New Model (4 lac USD @ 90.19)</t>
  </si>
  <si>
    <t>26-2-8200-6</t>
  </si>
  <si>
    <t>Fixed Assets RFID Tagging Software_Kharkhoda</t>
  </si>
  <si>
    <t>26-1-8400-1</t>
  </si>
  <si>
    <t>Audit Data Analytics Software</t>
  </si>
  <si>
    <t>Software for Data Analytics to be suggested by SMC Audit</t>
  </si>
  <si>
    <t>Internal Audit &amp; MD office</t>
  </si>
  <si>
    <t>Internal Audit</t>
  </si>
  <si>
    <t>26-1-8150-1</t>
  </si>
  <si>
    <t>Chapatti Machine (Cost of 1 machine Rs. 25lakh)</t>
  </si>
  <si>
    <t>For Canteen</t>
  </si>
  <si>
    <t>GA</t>
  </si>
  <si>
    <t>General Affairs</t>
  </si>
  <si>
    <t>26-1-8150-2</t>
  </si>
  <si>
    <t>Tea Boiler (Cost of 1 Tea Boiler is Rs. 250000)</t>
  </si>
  <si>
    <t>26-1-8150-3</t>
  </si>
  <si>
    <t>Gas Burner (Cost of 1 Gas Burner is Rs. 20000)</t>
  </si>
  <si>
    <t>26-1-8150-4</t>
  </si>
  <si>
    <t>Dishwasher Machine (cost of 1 machine cost-  30lakhs)</t>
  </si>
  <si>
    <t>26-1-8150-5</t>
  </si>
  <si>
    <t>Pulveriser Machine (1 machine cost is Rs. 35000)</t>
  </si>
  <si>
    <t>26-1-8150-6</t>
  </si>
  <si>
    <t>Dough Kneader (1 machine cost is Rs. 1 lakh)</t>
  </si>
  <si>
    <t>26-1-8150-7</t>
  </si>
  <si>
    <t>Bain Marie (1 machine cost is Rs. 180000)</t>
  </si>
  <si>
    <t>26-1-8150-8</t>
  </si>
  <si>
    <t>SS Working Table (1 Table cost is Rs. 25000)</t>
  </si>
  <si>
    <t>26-1-8150-9</t>
  </si>
  <si>
    <t>Potato Pillar (1 Machine cost is Rs. 2 lakh)</t>
  </si>
  <si>
    <t>26-1-8150-10</t>
  </si>
  <si>
    <t>Dinning Table (1 Table cost= Rs. 30000)</t>
  </si>
  <si>
    <t>26-1-8150-11</t>
  </si>
  <si>
    <t>Sorting Table @ 1 Lakh</t>
  </si>
  <si>
    <t>26-1-8150-12</t>
  </si>
  <si>
    <t>Water Softner @ 2 Lakh</t>
  </si>
  <si>
    <t>26-1-8150-13</t>
  </si>
  <si>
    <t>Vegetable cutting machine                  (1 machine= 7lakhs)</t>
  </si>
  <si>
    <t>26-1-8150-14</t>
  </si>
  <si>
    <t>Total Vehicle =
6 Vehicle repalcement (Sanjeev Sir, Vineet Sir, Hari Sir, Vijay Sir IT, Rakesh San IA) (6 Vehicle of 14 lakhs= Rs. 84 lakh) 
1 Ambulance cost is Rs. 14 Lakhs     
4 Vehicle for Promotion/New joinee @ 14lakhs each
10Vehicles for Expats @ 10 Lakhs Each</t>
  </si>
  <si>
    <t>26-1-8150-15</t>
  </si>
  <si>
    <t>10 Expats Room Air Purifier @ Rs. 15000 each</t>
  </si>
  <si>
    <t>Room Air Purifier</t>
  </si>
  <si>
    <t>26-1-8130-1</t>
  </si>
  <si>
    <t>Flap Barriers</t>
  </si>
  <si>
    <t>For Employees in/out Record purpose</t>
  </si>
  <si>
    <t>Vigilance</t>
  </si>
  <si>
    <t>26-1-8130-2</t>
  </si>
  <si>
    <t>Speed Camera</t>
  </si>
  <si>
    <t>For Monitring the vehicle speed between north gate and Safety cell</t>
  </si>
  <si>
    <t xml:space="preserve">Modern AI or software based system revamping </t>
  </si>
  <si>
    <t xml:space="preserve">For security system upgradation </t>
  </si>
  <si>
    <t>Education and human resource development</t>
  </si>
  <si>
    <t>Face recognition machine (Ubio-X FACE SC)</t>
  </si>
  <si>
    <t xml:space="preserve">FRS machine for attendance of contractual employees </t>
  </si>
  <si>
    <t xml:space="preserve"> </t>
  </si>
  <si>
    <t>ER</t>
  </si>
  <si>
    <t>26-1-2T09-1</t>
  </si>
  <si>
    <t>R &amp; D Installation &amp; Equipments</t>
  </si>
  <si>
    <t>North Gate Building - Reinforcement of Engineering</t>
  </si>
  <si>
    <t>Utility &amp; Firefighting and 
All weather A/c (Except Engg. Area).</t>
  </si>
  <si>
    <t>SOC, ISO Compliance</t>
  </si>
  <si>
    <t>Apr</t>
  </si>
  <si>
    <t>All</t>
  </si>
  <si>
    <t>2T09</t>
  </si>
  <si>
    <t>Homologation</t>
  </si>
  <si>
    <t>26-1-2T09-2</t>
  </si>
  <si>
    <t>Utility (Electrical Distribution, 
Compressed Air, Water etc. - Engg Area</t>
  </si>
  <si>
    <t>26-1-2T09-3</t>
  </si>
  <si>
    <t>HVAC (2 Labs)</t>
  </si>
  <si>
    <t>26-1-2T09-4</t>
  </si>
  <si>
    <t>Durability Lab</t>
  </si>
  <si>
    <t>26-1-2T09-5</t>
  </si>
  <si>
    <t>Vibration Lab</t>
  </si>
  <si>
    <t>26-1-2T09-6</t>
  </si>
  <si>
    <t>Robot</t>
  </si>
  <si>
    <t>26-1-2T09-7</t>
  </si>
  <si>
    <t>Small Tools</t>
  </si>
  <si>
    <t>Reduction Gear Box + Surface Plate + Pillon Hand Hold + Outrigger for brake testing in Inida - GSX150, V Strom 250, Access125, Burgman Street EX, New Burgman</t>
  </si>
  <si>
    <t>3+5</t>
  </si>
  <si>
    <t>Push Pull Guage, Torque Wrench,
Portable CO analyser</t>
  </si>
  <si>
    <t>Dec</t>
  </si>
  <si>
    <t>26-1-2T09-8</t>
  </si>
  <si>
    <t>XF091, XF2F1, XF3Q6,  XF3T9, XFE9F4, XF3N1,  XF3N1 (P74) New model purchage -18 vehicles total</t>
  </si>
  <si>
    <t>U32 Post verification (SMC Request)</t>
  </si>
  <si>
    <t>26-1-2T09-9</t>
  </si>
  <si>
    <t>E20+85+CNG Upgradation Plus H2 flame check plus Outriggers + Hioki + DC Power Supply</t>
  </si>
  <si>
    <t>26-1-2T09-10</t>
  </si>
  <si>
    <t xml:space="preserve">Emission Lab </t>
  </si>
  <si>
    <t>Accoustic and Fire Related Doors</t>
  </si>
  <si>
    <t>26-1-2T09-11</t>
  </si>
  <si>
    <t>Dyno testing upgradation</t>
  </si>
  <si>
    <t>Hioki Power Supply for EV testing Backup</t>
  </si>
  <si>
    <t>26-1-2T09-12</t>
  </si>
  <si>
    <t>H2 gas solenoid integration for Safety</t>
  </si>
  <si>
    <t>26-1-2T09-13</t>
  </si>
  <si>
    <t>Software- IMDS a2</t>
  </si>
  <si>
    <t>Compliance tool of DXC company</t>
  </si>
  <si>
    <t>26-1-2T09-14</t>
  </si>
  <si>
    <t>Software- SIDIS</t>
  </si>
  <si>
    <t>Compliance tool of SMC</t>
  </si>
  <si>
    <t>26-1-1100-1</t>
  </si>
  <si>
    <t>IC Engine Competitor Vehicle</t>
  </si>
  <si>
    <t>For VAVE &amp; Benchmarking
(10 Scooter @ 1 Lac/Sc)
(10 Motorcycle @ 1.5 Lac/Mc)</t>
  </si>
  <si>
    <t>ENGINEERING</t>
  </si>
  <si>
    <t>Mar</t>
  </si>
  <si>
    <t>26-1-1100-2</t>
  </si>
  <si>
    <t>Tools &amp; Equipments</t>
  </si>
  <si>
    <t>Vehicle Maint. Bench 1no - 100K  
Pneumatic/Electric gun - 200K 
Torque wrench  - 200K 
Other instruments if breakdown/fail in calibration - 200K
Multi meter 2 no. - 100K
Battery Charger  - 100K
GST Tool -100k</t>
  </si>
  <si>
    <t>26-1-1100-3</t>
  </si>
  <si>
    <t>Electric Vehicles</t>
  </si>
  <si>
    <t>On Road Testing of models, Inspection &amp; Benchmarking.
(16 Vehicles @ 1.7 Lac/Vehicle)</t>
  </si>
  <si>
    <t>26-1-1100-4</t>
  </si>
  <si>
    <t>Electric Charger / Installation</t>
  </si>
  <si>
    <t>26-1-1100-5</t>
  </si>
  <si>
    <t>Engineering Server</t>
  </si>
  <si>
    <t>26-1-1100-6</t>
  </si>
  <si>
    <t>Design station</t>
  </si>
  <si>
    <t>Computers, CAD Station for designing</t>
  </si>
  <si>
    <t>26-1-8250-1</t>
  </si>
  <si>
    <t xml:space="preserve">Software Development </t>
  </si>
  <si>
    <t>New Software development</t>
  </si>
  <si>
    <t>EXIM LOG</t>
  </si>
  <si>
    <t>EXIM</t>
  </si>
  <si>
    <t>26-2-8500-1</t>
  </si>
  <si>
    <t>Land Acquisition</t>
  </si>
  <si>
    <t xml:space="preserve">Kharkhoda Plant </t>
  </si>
  <si>
    <t>Stamp Duty @ 7% of land value</t>
  </si>
  <si>
    <t>0 Land</t>
  </si>
  <si>
    <t>Legal</t>
  </si>
  <si>
    <t>26-2-8500-2</t>
  </si>
  <si>
    <t xml:space="preserve">Registration Fees </t>
  </si>
  <si>
    <t>26-2-8500-3</t>
  </si>
  <si>
    <t xml:space="preserve">Professional Fees - Consultant 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</si>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</sst>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mmm/yy;@"/>
    <numFmt numFmtId="165" formatCode="_(* #,##0_);_(* \(#,##0\);_(* &quot;-&quot;??_);_(@_)"/>
    <numFmt numFmtId="166" formatCode="#,##0.0000;[Red]\-#,##0.0000"/>
    <numFmt numFmtId="167" formatCode="_ * #,##0.00_ ;_ * \-#,##0.00_ ;_ * &quot;-&quot;??_ ;_ @_ "/>
    <numFmt numFmtId="168" formatCode="#,##0_ ;[Red]\-#,##0\ "/>
  </numFmts>
  <fonts count="28"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theme="1"/>
      <name val="Arial"/>
      <family val="2"/>
    </font>
    <font>
      <sz val="20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name val="ＭＳ Ｐゴシック"/>
      <family val="3"/>
      <charset val="128"/>
    </font>
    <font>
      <b/>
      <sz val="9"/>
      <name val="Arial"/>
      <family val="2"/>
    </font>
    <font>
      <b/>
      <sz val="6"/>
      <name val="Arial"/>
      <family val="2"/>
    </font>
    <font>
      <b/>
      <sz val="9"/>
      <color theme="1"/>
      <name val="Arial"/>
      <family val="2"/>
    </font>
    <font>
      <b/>
      <sz val="6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9"/>
      <name val="Arial"/>
      <family val="2"/>
    </font>
    <font>
      <sz val="8"/>
      <color theme="1"/>
      <name val="Calibri"/>
      <family val="3"/>
      <charset val="128"/>
      <scheme val="minor"/>
    </font>
    <font>
      <sz val="8"/>
      <name val="Calibri"/>
      <family val="3"/>
      <charset val="128"/>
      <scheme val="minor"/>
    </font>
    <font>
      <sz val="8"/>
      <color rgb="FFFF0000"/>
      <name val="Arial"/>
      <family val="2"/>
    </font>
    <font>
      <sz val="9"/>
      <color theme="1"/>
      <name val="Calibri"/>
      <family val="3"/>
      <charset val="128"/>
      <scheme val="minor"/>
    </font>
    <font>
      <b/>
      <sz val="8"/>
      <color rgb="FF0000CC"/>
      <name val="Arial"/>
      <family val="2"/>
    </font>
    <font>
      <sz val="11"/>
      <color theme="1"/>
      <name val="Aptos"/>
      <family val="2"/>
    </font>
    <font>
      <sz val="11"/>
      <color rgb="FFFF0000"/>
      <name val="Aptos"/>
      <family val="2"/>
    </font>
    <font>
      <sz val="8"/>
      <color rgb="FF000000"/>
      <name val="Arial"/>
      <family val="2"/>
    </font>
    <font>
      <sz val="11"/>
      <color rgb="FF000000"/>
      <name val="Agency FB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40" fontId="2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3" fillId="0" borderId="0" xfId="3" applyFont="1" applyAlignment="1">
      <alignment horizontal="right" vertical="center"/>
    </xf>
    <xf numFmtId="166" fontId="3" fillId="0" borderId="0" xfId="4" applyNumberFormat="1" applyFont="1" applyAlignment="1">
      <alignment horizontal="right" vertical="center"/>
    </xf>
    <xf numFmtId="38" fontId="3" fillId="0" borderId="0" xfId="5" applyFont="1" applyAlignment="1">
      <alignment horizontal="right" vertical="center"/>
    </xf>
    <xf numFmtId="38" fontId="3" fillId="0" borderId="0" xfId="4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0" borderId="0" xfId="3" applyFont="1" applyAlignment="1">
      <alignment horizontal="center" vertical="center"/>
    </xf>
    <xf numFmtId="9" fontId="3" fillId="0" borderId="0" xfId="2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6" fontId="3" fillId="0" borderId="0" xfId="4" applyNumberFormat="1" applyFont="1" applyAlignment="1">
      <alignment horizontal="center" vertical="center"/>
    </xf>
    <xf numFmtId="0" fontId="3" fillId="0" borderId="0" xfId="3" applyFont="1" applyAlignment="1">
      <alignment horizontal="center" vertical="center" wrapText="1"/>
    </xf>
    <xf numFmtId="38" fontId="3" fillId="0" borderId="0" xfId="4" applyFont="1" applyAlignment="1">
      <alignment horizontal="center" vertical="center" wrapText="1"/>
    </xf>
    <xf numFmtId="38" fontId="3" fillId="0" borderId="0" xfId="4" applyFont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8" fillId="0" borderId="1" xfId="6" applyFont="1" applyBorder="1" applyAlignment="1">
      <alignment horizontal="center" vertical="center" wrapText="1"/>
    </xf>
    <xf numFmtId="0" fontId="8" fillId="0" borderId="1" xfId="7" applyFont="1" applyBorder="1" applyAlignment="1">
      <alignment horizontal="left" vertical="center"/>
    </xf>
    <xf numFmtId="0" fontId="8" fillId="0" borderId="1" xfId="7" applyFont="1" applyBorder="1" applyAlignment="1">
      <alignment vertical="center" wrapText="1"/>
    </xf>
    <xf numFmtId="0" fontId="10" fillId="0" borderId="1" xfId="7" applyFont="1" applyBorder="1" applyAlignment="1">
      <alignment horizontal="center" vertical="center" wrapText="1"/>
    </xf>
    <xf numFmtId="164" fontId="10" fillId="0" borderId="1" xfId="7" applyNumberFormat="1" applyFont="1" applyBorder="1" applyAlignment="1">
      <alignment horizontal="center" vertical="center" wrapText="1"/>
    </xf>
    <xf numFmtId="164" fontId="8" fillId="0" borderId="1" xfId="7" applyNumberFormat="1" applyFont="1" applyBorder="1" applyAlignment="1">
      <alignment horizontal="center" vertical="center" wrapText="1"/>
    </xf>
    <xf numFmtId="165" fontId="8" fillId="0" borderId="1" xfId="1" applyNumberFormat="1" applyFont="1" applyBorder="1" applyAlignment="1">
      <alignment horizontal="center" vertical="center"/>
    </xf>
    <xf numFmtId="38" fontId="10" fillId="0" borderId="1" xfId="4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/>
    </xf>
    <xf numFmtId="166" fontId="6" fillId="0" borderId="1" xfId="4" applyNumberFormat="1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38" fontId="6" fillId="0" borderId="1" xfId="4" applyFont="1" applyBorder="1" applyAlignment="1">
      <alignment horizontal="center" vertical="center"/>
    </xf>
    <xf numFmtId="38" fontId="6" fillId="0" borderId="1" xfId="4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vertical="center" wrapText="1"/>
    </xf>
    <xf numFmtId="164" fontId="13" fillId="4" borderId="1" xfId="0" applyNumberFormat="1" applyFont="1" applyFill="1" applyBorder="1" applyAlignment="1">
      <alignment horizontal="center" vertical="center"/>
    </xf>
    <xf numFmtId="168" fontId="13" fillId="4" borderId="1" xfId="4" applyNumberFormat="1" applyFont="1" applyFill="1" applyBorder="1" applyAlignment="1">
      <alignment horizontal="center" vertical="center"/>
    </xf>
    <xf numFmtId="168" fontId="13" fillId="4" borderId="1" xfId="4" applyNumberFormat="1" applyFont="1" applyFill="1" applyBorder="1" applyAlignment="1">
      <alignment vertical="center"/>
    </xf>
    <xf numFmtId="38" fontId="13" fillId="5" borderId="0" xfId="8" applyNumberFormat="1" applyFont="1" applyFill="1" applyAlignment="1">
      <alignment vertical="center"/>
    </xf>
    <xf numFmtId="166" fontId="13" fillId="0" borderId="0" xfId="8" applyNumberFormat="1" applyFont="1" applyAlignment="1">
      <alignment horizontal="right" vertical="center"/>
    </xf>
    <xf numFmtId="38" fontId="13" fillId="0" borderId="0" xfId="8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4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168" fontId="13" fillId="4" borderId="1" xfId="4" applyNumberFormat="1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164" fontId="16" fillId="4" borderId="1" xfId="0" applyNumberFormat="1" applyFont="1" applyFill="1" applyBorder="1" applyAlignment="1">
      <alignment horizontal="center" vertical="center" wrapText="1"/>
    </xf>
    <xf numFmtId="168" fontId="16" fillId="4" borderId="1" xfId="4" applyNumberFormat="1" applyFont="1" applyFill="1" applyBorder="1" applyAlignment="1">
      <alignment horizontal="center" vertical="center" wrapText="1"/>
    </xf>
    <xf numFmtId="38" fontId="16" fillId="4" borderId="1" xfId="4" applyFont="1" applyFill="1" applyBorder="1" applyAlignment="1">
      <alignment vertical="center" wrapText="1"/>
    </xf>
    <xf numFmtId="164" fontId="16" fillId="6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vertical="center" wrapText="1"/>
    </xf>
    <xf numFmtId="38" fontId="16" fillId="4" borderId="1" xfId="4" applyFont="1" applyFill="1" applyBorder="1" applyAlignment="1">
      <alignment horizontal="right" vertical="center" wrapText="1"/>
    </xf>
    <xf numFmtId="0" fontId="13" fillId="0" borderId="1" xfId="0" applyFont="1" applyBorder="1" applyAlignment="1">
      <alignment horizontal="left" vertical="center" wrapText="1"/>
    </xf>
    <xf numFmtId="164" fontId="13" fillId="4" borderId="1" xfId="0" applyNumberFormat="1" applyFont="1" applyFill="1" applyBorder="1" applyAlignment="1">
      <alignment horizontal="center" vertical="center" wrapText="1"/>
    </xf>
    <xf numFmtId="164" fontId="13" fillId="6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8" fillId="4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/>
    </xf>
    <xf numFmtId="165" fontId="13" fillId="4" borderId="1" xfId="1" applyNumberFormat="1" applyFont="1" applyFill="1" applyBorder="1" applyAlignment="1">
      <alignment vertical="center"/>
    </xf>
    <xf numFmtId="0" fontId="19" fillId="4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left" vertical="center" wrapText="1"/>
    </xf>
    <xf numFmtId="165" fontId="13" fillId="4" borderId="1" xfId="1" applyNumberFormat="1" applyFont="1" applyFill="1" applyBorder="1" applyAlignment="1">
      <alignment horizontal="right" vertical="center"/>
    </xf>
    <xf numFmtId="164" fontId="20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vertical="top" wrapText="1"/>
    </xf>
    <xf numFmtId="0" fontId="21" fillId="4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165" fontId="13" fillId="4" borderId="1" xfId="1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center" vertical="top"/>
    </xf>
    <xf numFmtId="0" fontId="23" fillId="2" borderId="1" xfId="0" applyFont="1" applyFill="1" applyBorder="1" applyAlignment="1">
      <alignment horizontal="center" vertical="top" wrapText="1"/>
    </xf>
    <xf numFmtId="0" fontId="23" fillId="4" borderId="1" xfId="0" applyFont="1" applyFill="1" applyBorder="1" applyAlignment="1">
      <alignment horizontal="left" vertical="top" wrapText="1"/>
    </xf>
    <xf numFmtId="0" fontId="23" fillId="5" borderId="1" xfId="0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left" vertical="top"/>
    </xf>
    <xf numFmtId="0" fontId="24" fillId="2" borderId="1" xfId="0" applyFont="1" applyFill="1" applyBorder="1" applyAlignment="1">
      <alignment horizontal="center" vertical="top"/>
    </xf>
    <xf numFmtId="0" fontId="24" fillId="0" borderId="1" xfId="0" applyFont="1" applyBorder="1" applyAlignment="1">
      <alignment horizontal="center" vertical="top"/>
    </xf>
    <xf numFmtId="164" fontId="24" fillId="4" borderId="1" xfId="0" applyNumberFormat="1" applyFont="1" applyFill="1" applyBorder="1" applyAlignment="1">
      <alignment horizontal="center" vertical="top"/>
    </xf>
    <xf numFmtId="164" fontId="23" fillId="4" borderId="1" xfId="0" applyNumberFormat="1" applyFont="1" applyFill="1" applyBorder="1" applyAlignment="1">
      <alignment horizontal="center" vertical="top"/>
    </xf>
    <xf numFmtId="168" fontId="23" fillId="4" borderId="1" xfId="4" applyNumberFormat="1" applyFont="1" applyFill="1" applyBorder="1" applyAlignment="1">
      <alignment horizontal="right" vertical="top"/>
    </xf>
    <xf numFmtId="168" fontId="24" fillId="4" borderId="1" xfId="4" applyNumberFormat="1" applyFont="1" applyFill="1" applyBorder="1" applyAlignment="1">
      <alignment horizontal="right" vertical="top"/>
    </xf>
    <xf numFmtId="0" fontId="24" fillId="2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/>
    </xf>
    <xf numFmtId="168" fontId="15" fillId="0" borderId="1" xfId="4" applyNumberFormat="1" applyFont="1" applyFill="1" applyBorder="1" applyAlignment="1">
      <alignment vertical="center"/>
    </xf>
    <xf numFmtId="168" fontId="17" fillId="0" borderId="1" xfId="4" applyNumberFormat="1" applyFont="1" applyFill="1" applyBorder="1" applyAlignment="1">
      <alignment vertical="center"/>
    </xf>
    <xf numFmtId="0" fontId="17" fillId="0" borderId="1" xfId="0" applyFont="1" applyBorder="1" applyAlignment="1">
      <alignment horizontal="left" vertical="center" wrapText="1"/>
    </xf>
    <xf numFmtId="168" fontId="15" fillId="0" borderId="1" xfId="4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164" fontId="17" fillId="7" borderId="1" xfId="0" applyNumberFormat="1" applyFont="1" applyFill="1" applyBorder="1" applyAlignment="1">
      <alignment horizontal="center" vertical="center"/>
    </xf>
    <xf numFmtId="164" fontId="15" fillId="7" borderId="1" xfId="0" applyNumberFormat="1" applyFont="1" applyFill="1" applyBorder="1" applyAlignment="1">
      <alignment horizontal="center" vertical="center"/>
    </xf>
    <xf numFmtId="168" fontId="15" fillId="7" borderId="1" xfId="4" applyNumberFormat="1" applyFont="1" applyFill="1" applyBorder="1" applyAlignment="1">
      <alignment vertical="center"/>
    </xf>
    <xf numFmtId="164" fontId="15" fillId="0" borderId="1" xfId="0" applyNumberFormat="1" applyFont="1" applyBorder="1" applyAlignment="1">
      <alignment horizontal="center" vertical="center" wrapText="1"/>
    </xf>
    <xf numFmtId="168" fontId="15" fillId="0" borderId="1" xfId="4" applyNumberFormat="1" applyFont="1" applyFill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68" fontId="14" fillId="4" borderId="1" xfId="4" applyNumberFormat="1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25" fillId="4" borderId="1" xfId="0" applyFont="1" applyFill="1" applyBorder="1" applyAlignment="1">
      <alignment horizontal="left" vertical="center"/>
    </xf>
    <xf numFmtId="0" fontId="25" fillId="4" borderId="1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168" fontId="13" fillId="4" borderId="1" xfId="4" applyNumberFormat="1" applyFont="1" applyFill="1" applyBorder="1" applyAlignment="1">
      <alignment horizontal="left" vertical="center"/>
    </xf>
    <xf numFmtId="168" fontId="13" fillId="4" borderId="1" xfId="4" applyNumberFormat="1" applyFont="1" applyFill="1" applyBorder="1" applyAlignment="1">
      <alignment horizontal="left" vertical="center" wrapText="1"/>
    </xf>
    <xf numFmtId="0" fontId="13" fillId="0" borderId="3" xfId="0" applyFont="1" applyBorder="1">
      <alignment vertical="center"/>
    </xf>
    <xf numFmtId="168" fontId="13" fillId="4" borderId="3" xfId="4" applyNumberFormat="1" applyFont="1" applyFill="1" applyBorder="1" applyAlignment="1">
      <alignment horizontal="left" vertical="center"/>
    </xf>
    <xf numFmtId="168" fontId="13" fillId="4" borderId="4" xfId="4" applyNumberFormat="1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8" fontId="14" fillId="4" borderId="1" xfId="4" applyNumberFormat="1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vertical="center" wrapText="1"/>
    </xf>
  </cellXfs>
  <cellStyles count="9">
    <cellStyle name="Comma" xfId="1" builtinId="3"/>
    <cellStyle name="Comma [0] 2 3" xfId="4" xr:uid="{EE45A6E3-BF87-4542-B593-908D6315FD60}"/>
    <cellStyle name="Comma [0] 4 2" xfId="5" xr:uid="{BE50CEC5-A35C-48C3-A41A-91A6F7856647}"/>
    <cellStyle name="Comma 4" xfId="8" xr:uid="{ED1219AA-2284-447D-9F65-0D2F97A3585F}"/>
    <cellStyle name="Normal" xfId="0" builtinId="0"/>
    <cellStyle name="Normal 2 2" xfId="3" xr:uid="{750DAE4B-68F9-4C80-8920-83AEF0FDA982}"/>
    <cellStyle name="Percent" xfId="2" builtinId="5"/>
    <cellStyle name="標準_海外設備予算申請一覧(ﾈｶ) 2" xfId="7" xr:uid="{7C1A9066-2B40-4852-B670-6670772CEB9C}"/>
    <cellStyle name="標準_海外設備予算申請一覧(ﾈｶ)_2004年経営計画（設備投資）_①2014年度設備投資総括表記入用紙" xfId="6" xr:uid="{47B8CD01-92F3-4109-99EF-45DE558FCB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FAL\Cost%20Accounts%20II\All%20Data\Budget%20Software\2nd%20cut\Capex%20Budget%20Format.xlsx" TargetMode="External"/><Relationship Id="rId1" Type="http://schemas.openxmlformats.org/officeDocument/2006/relationships/externalLinkPath" Target="file:///Y:\FAL\Cost%20Accounts%20II\All%20Data\Budget%20Software\2nd%20cut\Capex%20Budget%20Forma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umar.dhirendra\OneDrive%20-%20Suzuki%20Motorcycle%20India%20Pvt%20Ltd\Desktop\Capital%20Budget%20Planning\Press%20and%20weld_%20Final%20Capex%20Budget%20(26-31).xlsx" TargetMode="External"/><Relationship Id="rId1" Type="http://schemas.openxmlformats.org/officeDocument/2006/relationships/externalLinkPath" Target="file:///C:\Users\kumar.dhirendra\OneDrive%20-%20Suzuki%20Motorcycle%20India%20Pvt%20Ltd\Desktop\Capital%20Budget%20Planning\Press%20and%20weld_%20Final%20Capex%20Budget%20(26-3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i-fil-srv1\home\PKC\PKC\Budget\Budget%20Yr%202022-26\PKC%20Capital%20budget%20application%20form%202022-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aturvedi.sharad\AppData\Local\Microsoft\Windows\INetCache\Content.Outlook\XUM7TS67\Final%20Capital%20budget%20application%20form%202024-28.xlsx" TargetMode="External"/><Relationship Id="rId1" Type="http://schemas.openxmlformats.org/officeDocument/2006/relationships/externalLinkPath" Target="https://suzukimotorcycles-my.sharepoint.com/personal/arora_pulkit_suzukimotorcycle_in/Documents/Desktop/Budget-20/BUDGET%20FY24-25/Final%20Capital%20budget%20application%20form%202024-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 budget data"/>
      <sheetName val="Initial 2022"/>
      <sheetName val="Initial"/>
      <sheetName val="SMC submit"/>
      <sheetName val="Code"/>
      <sheetName val="Total"/>
      <sheetName val="Sheet1"/>
      <sheetName val="2024 Estimate"/>
      <sheetName val="Sheet2"/>
      <sheetName val="2026"/>
      <sheetName val="2026 (Naveen)"/>
      <sheetName val="2027"/>
      <sheetName val="Budget (23-24)"/>
      <sheetName val="23-24 Actual Pivot"/>
      <sheetName val="Budget (22-23)"/>
      <sheetName val="22-23 Actual Pivot"/>
      <sheetName val="Comparison"/>
      <sheetName val="Sheet3"/>
      <sheetName val="2028"/>
      <sheetName val="2029"/>
      <sheetName val="2030"/>
      <sheetName val="2031"/>
    </sheetNames>
    <sheetDataSet>
      <sheetData sheetId="0"/>
      <sheetData sheetId="1"/>
      <sheetData sheetId="2"/>
      <sheetData sheetId="3"/>
      <sheetData sheetId="4">
        <row r="2">
          <cell r="D2" t="str">
            <v>Department</v>
          </cell>
          <cell r="E2" t="str">
            <v>Department code</v>
          </cell>
          <cell r="J2" t="str">
            <v>Fixed Asset code
Please select drop down list</v>
          </cell>
          <cell r="K2" t="str">
            <v>Useful life</v>
          </cell>
        </row>
        <row r="3">
          <cell r="B3" t="str">
            <v>Machinery  Equipment for New Model</v>
          </cell>
          <cell r="D3" t="str">
            <v>Product Planning</v>
          </cell>
          <cell r="E3" t="str">
            <v>6100</v>
          </cell>
          <cell r="H3" t="str">
            <v>Administration</v>
          </cell>
          <cell r="I3" t="str">
            <v>GE110</v>
          </cell>
          <cell r="J3" t="str">
            <v>Row Labels</v>
          </cell>
          <cell r="N3" t="str">
            <v>Product Planning</v>
          </cell>
        </row>
        <row r="4">
          <cell r="B4" t="str">
            <v>Die &amp; Jigs (for New Model)</v>
          </cell>
          <cell r="D4" t="str">
            <v>ENGINEERING</v>
          </cell>
          <cell r="E4" t="str">
            <v>1100</v>
          </cell>
          <cell r="H4" t="str">
            <v>Production</v>
          </cell>
          <cell r="I4" t="str">
            <v xml:space="preserve">GSX150 </v>
          </cell>
          <cell r="J4" t="str">
            <v>0 Land</v>
          </cell>
          <cell r="K4">
            <v>0</v>
          </cell>
          <cell r="N4" t="str">
            <v>ENGINEERING</v>
          </cell>
        </row>
        <row r="5">
          <cell r="B5" t="str">
            <v>Die &amp; Jigs (for Current Model)</v>
          </cell>
          <cell r="D5" t="str">
            <v>HOMOLOGATION &amp; QC</v>
          </cell>
          <cell r="E5" t="str">
            <v>T820</v>
          </cell>
          <cell r="H5" t="str">
            <v>Purchase</v>
          </cell>
          <cell r="I5" t="str">
            <v>GSX150F</v>
          </cell>
          <cell r="J5" t="str">
            <v>1 BUILDING</v>
          </cell>
          <cell r="K5">
            <v>30</v>
          </cell>
          <cell r="N5" t="str">
            <v>HOMOLOGATION &amp; QC</v>
          </cell>
        </row>
        <row r="6">
          <cell r="B6" t="str">
            <v>Die-jigs leasing for suppliers</v>
          </cell>
          <cell r="D6" t="str">
            <v>MARKET QUALITY</v>
          </cell>
          <cell r="E6" t="str">
            <v>7621</v>
          </cell>
          <cell r="H6" t="str">
            <v>Quality &amp; Engineering</v>
          </cell>
          <cell r="I6" t="str">
            <v>GL150</v>
          </cell>
          <cell r="J6" t="str">
            <v>5 MACHINERY,UTILITIES</v>
          </cell>
          <cell r="K6">
            <v>8</v>
          </cell>
          <cell r="N6" t="str">
            <v>MARKET QUALITY</v>
          </cell>
        </row>
        <row r="7">
          <cell r="B7" t="str">
            <v>Increase in Production Capacity</v>
          </cell>
          <cell r="D7" t="str">
            <v>FINAL INSPECTION (GURGAON)</v>
          </cell>
          <cell r="E7" t="str">
            <v>G820</v>
          </cell>
          <cell r="H7" t="str">
            <v>Sales &amp; After Sales</v>
          </cell>
          <cell r="I7" t="str">
            <v>UZ125</v>
          </cell>
          <cell r="J7" t="str">
            <v>9 TOOLS</v>
          </cell>
          <cell r="K7">
            <v>5</v>
          </cell>
          <cell r="N7" t="str">
            <v>FINAL INSPECTION (GURGAON)</v>
          </cell>
        </row>
        <row r="8">
          <cell r="B8" t="str">
            <v>Carbon neutral</v>
          </cell>
          <cell r="D8" t="str">
            <v>PARTS INSPECTION</v>
          </cell>
          <cell r="E8" t="str">
            <v>2T60</v>
          </cell>
          <cell r="H8" t="str">
            <v>MD Office</v>
          </cell>
          <cell r="I8" t="str">
            <v>UN125</v>
          </cell>
          <cell r="J8" t="str">
            <v>9 DIES</v>
          </cell>
          <cell r="K8">
            <v>5</v>
          </cell>
          <cell r="N8" t="str">
            <v>PARTS INSPECTION</v>
          </cell>
        </row>
        <row r="9">
          <cell r="B9" t="str">
            <v>Rationalization</v>
          </cell>
          <cell r="D9" t="str">
            <v>Purchase</v>
          </cell>
          <cell r="E9" t="str">
            <v>2100</v>
          </cell>
          <cell r="I9" t="str">
            <v>UR110</v>
          </cell>
          <cell r="J9" t="str">
            <v>11 COMPUTERS</v>
          </cell>
          <cell r="K9">
            <v>3</v>
          </cell>
          <cell r="N9" t="str">
            <v/>
          </cell>
        </row>
        <row r="10">
          <cell r="B10" t="str">
            <v>Renewal Of Production Equipment</v>
          </cell>
          <cell r="D10" t="str">
            <v>PKC</v>
          </cell>
          <cell r="E10" t="str">
            <v>2107</v>
          </cell>
          <cell r="I10" t="str">
            <v>UB125</v>
          </cell>
          <cell r="J10" t="str">
            <v>12 FURNITURE &amp; FIXTURE</v>
          </cell>
          <cell r="K10">
            <v>10</v>
          </cell>
          <cell r="N10" t="str">
            <v/>
          </cell>
        </row>
        <row r="11">
          <cell r="B11" t="str">
            <v>Quality Countermeasure</v>
          </cell>
          <cell r="D11" t="str">
            <v>PPC</v>
          </cell>
          <cell r="E11" t="str">
            <v>2200</v>
          </cell>
          <cell r="I11" t="str">
            <v>GSX250</v>
          </cell>
          <cell r="J11" t="str">
            <v>13 INTANGIBLE ASSETS</v>
          </cell>
          <cell r="K11">
            <v>6</v>
          </cell>
          <cell r="N11" t="str">
            <v/>
          </cell>
        </row>
        <row r="12">
          <cell r="B12" t="str">
            <v>Improvement of work environment</v>
          </cell>
          <cell r="D12" t="str">
            <v>PEB</v>
          </cell>
          <cell r="E12" t="str">
            <v>2400</v>
          </cell>
          <cell r="I12" t="str">
            <v>GSX250F</v>
          </cell>
          <cell r="J12" t="str">
            <v>14 OFFICE EQUIPMENTS</v>
          </cell>
          <cell r="K12">
            <v>5</v>
          </cell>
          <cell r="N12" t="str">
            <v/>
          </cell>
        </row>
        <row r="13">
          <cell r="B13" t="str">
            <v>Environmental Protection Measures</v>
          </cell>
          <cell r="D13" t="str">
            <v>PJM</v>
          </cell>
          <cell r="E13" t="str">
            <v>2500</v>
          </cell>
          <cell r="I13" t="str">
            <v>DS250</v>
          </cell>
          <cell r="J13" t="str">
            <v>15 VEHICLES</v>
          </cell>
          <cell r="K13">
            <v>10</v>
          </cell>
          <cell r="N13" t="str">
            <v/>
          </cell>
        </row>
        <row r="14">
          <cell r="B14" t="str">
            <v>R &amp; D Installation &amp; Equipments</v>
          </cell>
          <cell r="D14" t="str">
            <v>CKD</v>
          </cell>
          <cell r="E14" t="str">
            <v>6400</v>
          </cell>
          <cell r="I14" t="str">
            <v>GSX1300R</v>
          </cell>
          <cell r="N14" t="str">
            <v/>
          </cell>
        </row>
        <row r="15">
          <cell r="B15" t="str">
            <v xml:space="preserve">Equipment for Automation </v>
          </cell>
          <cell r="D15" t="str">
            <v>Logistic</v>
          </cell>
          <cell r="E15" t="str">
            <v>2300</v>
          </cell>
          <cell r="I15" t="str">
            <v>GSX-750</v>
          </cell>
          <cell r="N15" t="str">
            <v/>
          </cell>
        </row>
        <row r="16">
          <cell r="B16" t="str">
            <v>Production Engineering Research Fee</v>
          </cell>
          <cell r="D16" t="str">
            <v>PRESS (GURGAON)</v>
          </cell>
          <cell r="E16" t="str">
            <v>G310</v>
          </cell>
          <cell r="I16" t="str">
            <v>DL650</v>
          </cell>
          <cell r="N16" t="str">
            <v/>
          </cell>
        </row>
        <row r="17">
          <cell r="B17" t="str">
            <v>Disaster Preparation</v>
          </cell>
          <cell r="D17" t="str">
            <v>WELDING (GURGAON)</v>
          </cell>
          <cell r="E17" t="str">
            <v>G320</v>
          </cell>
          <cell r="I17" t="str">
            <v>Other scoter</v>
          </cell>
          <cell r="N17" t="str">
            <v/>
          </cell>
        </row>
        <row r="18">
          <cell r="B18" t="str">
            <v>Education and human resource development</v>
          </cell>
          <cell r="D18" t="str">
            <v>PAINTING(GURGAON)</v>
          </cell>
          <cell r="E18" t="str">
            <v>G410</v>
          </cell>
          <cell r="I18" t="str">
            <v>Other Motorcycle</v>
          </cell>
          <cell r="N18" t="str">
            <v/>
          </cell>
        </row>
        <row r="19">
          <cell r="B19" t="str">
            <v>Land Acquisition</v>
          </cell>
          <cell r="D19" t="str">
            <v>INJECTION MOLDING (GURGAON)</v>
          </cell>
          <cell r="E19" t="str">
            <v>G430</v>
          </cell>
          <cell r="I19" t="str">
            <v xml:space="preserve">ALL </v>
          </cell>
        </row>
        <row r="20">
          <cell r="B20" t="str">
            <v>Others (Prod.)</v>
          </cell>
          <cell r="D20" t="str">
            <v>ASSEMBLY (GURGAON)</v>
          </cell>
          <cell r="E20" t="str">
            <v>G510</v>
          </cell>
        </row>
        <row r="21">
          <cell r="B21" t="str">
            <v>Equipment etc. for sales</v>
          </cell>
          <cell r="D21" t="str">
            <v>MATERIAL SUPPLY (GURGAON)</v>
          </cell>
          <cell r="E21" t="str">
            <v>G810</v>
          </cell>
        </row>
        <row r="22">
          <cell r="B22" t="str">
            <v>Land (sales)</v>
          </cell>
          <cell r="D22" t="str">
            <v>SALES.M/C.DOM</v>
          </cell>
          <cell r="E22" t="str">
            <v>6500</v>
          </cell>
        </row>
        <row r="23">
          <cell r="B23" t="str">
            <v>Computers used in office</v>
          </cell>
          <cell r="D23" t="str">
            <v>Export</v>
          </cell>
          <cell r="E23" t="str">
            <v>6550</v>
          </cell>
        </row>
        <row r="24">
          <cell r="B24" t="str">
            <v>Others (admin.)</v>
          </cell>
          <cell r="D24" t="str">
            <v>MARKETING</v>
          </cell>
          <cell r="E24" t="str">
            <v>6800</v>
          </cell>
        </row>
        <row r="25">
          <cell r="B25" t="str">
            <v>Land (Admin)</v>
          </cell>
          <cell r="D25" t="str">
            <v>DEALER DEVELOPMENT</v>
          </cell>
          <cell r="E25" t="str">
            <v>6900</v>
          </cell>
        </row>
        <row r="26">
          <cell r="D26" t="str">
            <v>Service</v>
          </cell>
          <cell r="E26" t="str">
            <v>6600</v>
          </cell>
        </row>
        <row r="27">
          <cell r="D27" t="str">
            <v>PARTS</v>
          </cell>
          <cell r="E27" t="str">
            <v>6300</v>
          </cell>
        </row>
        <row r="28">
          <cell r="D28" t="str">
            <v>HR</v>
          </cell>
          <cell r="E28" t="str">
            <v>8100</v>
          </cell>
        </row>
        <row r="29">
          <cell r="D29" t="str">
            <v>Vigilance</v>
          </cell>
          <cell r="E29" t="str">
            <v>8130</v>
          </cell>
        </row>
        <row r="30">
          <cell r="D30" t="str">
            <v>JPS</v>
          </cell>
          <cell r="E30" t="str">
            <v>8140</v>
          </cell>
        </row>
        <row r="31">
          <cell r="D31" t="str">
            <v>GA</v>
          </cell>
          <cell r="E31" t="str">
            <v>8150</v>
          </cell>
        </row>
        <row r="32">
          <cell r="D32" t="str">
            <v>FIN</v>
          </cell>
          <cell r="E32" t="str">
            <v>8200</v>
          </cell>
        </row>
        <row r="33">
          <cell r="D33" t="str">
            <v>EXIM LOG</v>
          </cell>
          <cell r="E33" t="str">
            <v>8250</v>
          </cell>
        </row>
        <row r="34">
          <cell r="D34" t="str">
            <v>IT</v>
          </cell>
          <cell r="E34" t="str">
            <v>8300</v>
          </cell>
        </row>
        <row r="35">
          <cell r="D35" t="str">
            <v>Internal Audit &amp; MD office</v>
          </cell>
          <cell r="E35" t="str">
            <v>8400</v>
          </cell>
        </row>
        <row r="36">
          <cell r="D36" t="str">
            <v>Legal</v>
          </cell>
          <cell r="E36" t="str">
            <v>8500</v>
          </cell>
        </row>
        <row r="37">
          <cell r="D37" t="str">
            <v>PE Engine</v>
          </cell>
          <cell r="E37" t="str">
            <v>T520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 budget data"/>
      <sheetName val="Initial 2022"/>
      <sheetName val="Initial"/>
      <sheetName val="SMC submit"/>
      <sheetName val="Code"/>
      <sheetName val="Total"/>
      <sheetName val="Sheet1"/>
      <sheetName val="2024 Estimate"/>
      <sheetName val="2026"/>
      <sheetName val="2027"/>
      <sheetName val="Budget (23-24)"/>
      <sheetName val="23-24 Actual Pivot"/>
      <sheetName val="Budget (22-23)"/>
      <sheetName val="22-23 Actual Pivot"/>
      <sheetName val="Comparison"/>
      <sheetName val="Sheet3"/>
      <sheetName val="2028"/>
      <sheetName val="2029"/>
      <sheetName val="2030"/>
      <sheetName val="2031"/>
    </sheetNames>
    <sheetDataSet>
      <sheetData sheetId="0"/>
      <sheetData sheetId="1"/>
      <sheetData sheetId="2"/>
      <sheetData sheetId="3"/>
      <sheetData sheetId="4">
        <row r="2">
          <cell r="D2" t="str">
            <v>Department</v>
          </cell>
        </row>
        <row r="3">
          <cell r="I3" t="str">
            <v>GE110</v>
          </cell>
        </row>
        <row r="4">
          <cell r="I4" t="str">
            <v xml:space="preserve">GSX150 </v>
          </cell>
        </row>
        <row r="5">
          <cell r="I5" t="str">
            <v>GSX150F</v>
          </cell>
        </row>
        <row r="6">
          <cell r="I6" t="str">
            <v>GL150</v>
          </cell>
        </row>
        <row r="7">
          <cell r="I7" t="str">
            <v>UZ125</v>
          </cell>
        </row>
        <row r="8">
          <cell r="I8" t="str">
            <v>UN125</v>
          </cell>
        </row>
        <row r="9">
          <cell r="I9" t="str">
            <v>UR110</v>
          </cell>
        </row>
        <row r="10">
          <cell r="I10" t="str">
            <v>UB125</v>
          </cell>
        </row>
        <row r="11">
          <cell r="I11" t="str">
            <v>GSX250</v>
          </cell>
        </row>
        <row r="12">
          <cell r="I12" t="str">
            <v>GSX250F</v>
          </cell>
        </row>
        <row r="13">
          <cell r="I13" t="str">
            <v>DS250</v>
          </cell>
        </row>
        <row r="14">
          <cell r="I14" t="str">
            <v>GSX1300R</v>
          </cell>
        </row>
        <row r="15">
          <cell r="I15" t="str">
            <v>GSX-750</v>
          </cell>
        </row>
        <row r="16">
          <cell r="I16" t="str">
            <v>DL650</v>
          </cell>
        </row>
        <row r="17">
          <cell r="I17" t="str">
            <v>Other scoter</v>
          </cell>
        </row>
        <row r="18">
          <cell r="I18" t="str">
            <v>Other Motorcycle</v>
          </cell>
        </row>
        <row r="19">
          <cell r="I19" t="str">
            <v xml:space="preserve">ALL 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A budget data"/>
      <sheetName val="Initial"/>
      <sheetName val="SMC submit"/>
      <sheetName val="Code"/>
      <sheetName val="Sheet2"/>
      <sheetName val="2021-22 Plan vs actual"/>
      <sheetName val="2022-23"/>
      <sheetName val="2023-24"/>
      <sheetName val="2024-25"/>
      <sheetName val="2025-26"/>
      <sheetName val="2026-27"/>
    </sheetNames>
    <sheetDataSet>
      <sheetData sheetId="0"/>
      <sheetData sheetId="1"/>
      <sheetData sheetId="2"/>
      <sheetData sheetId="3"/>
      <sheetData sheetId="4">
        <row r="4">
          <cell r="G4" t="str">
            <v>0 Land</v>
          </cell>
        </row>
        <row r="5">
          <cell r="G5" t="str">
            <v>1 BUILDING</v>
          </cell>
        </row>
        <row r="6">
          <cell r="G6" t="str">
            <v>5 MACHINERY,UTILITIES</v>
          </cell>
        </row>
        <row r="7">
          <cell r="G7" t="str">
            <v>9 TOOLS</v>
          </cell>
        </row>
        <row r="8">
          <cell r="G8" t="str">
            <v>9 DIES</v>
          </cell>
        </row>
        <row r="9">
          <cell r="G9" t="str">
            <v>11 COMPUTERS</v>
          </cell>
        </row>
        <row r="10">
          <cell r="G10" t="str">
            <v>12 FURNITURE &amp; FIXTURE</v>
          </cell>
        </row>
        <row r="11">
          <cell r="G11" t="str">
            <v>13 INTANGIBLE ASSETS</v>
          </cell>
        </row>
        <row r="12">
          <cell r="G12" t="str">
            <v>14 OFFICE EQUIPMENTS</v>
          </cell>
        </row>
        <row r="13">
          <cell r="G13" t="str">
            <v>15 VEHICLES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 budget data"/>
      <sheetName val="Initial 2022"/>
      <sheetName val="Initial"/>
      <sheetName val="SMC submit"/>
      <sheetName val="Code"/>
      <sheetName val="Total"/>
      <sheetName val="Sheet1"/>
      <sheetName val="2022 Estimate"/>
      <sheetName val="2024"/>
      <sheetName val="2025"/>
      <sheetName val="2026"/>
      <sheetName val="2027"/>
      <sheetName val="2028"/>
      <sheetName val="Final model wise working 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B3" t="str">
            <v>Machinery  Equipment for New Model</v>
          </cell>
        </row>
        <row r="4">
          <cell r="B4" t="str">
            <v>Die &amp; Jigs (for New Model)</v>
          </cell>
        </row>
        <row r="5">
          <cell r="B5" t="str">
            <v>Die &amp; Jigs (for Current Model)</v>
          </cell>
        </row>
        <row r="6">
          <cell r="B6" t="str">
            <v>Die-jigs leasing for suppliers</v>
          </cell>
        </row>
        <row r="7">
          <cell r="B7" t="str">
            <v>Increase in Production Capacity</v>
          </cell>
        </row>
        <row r="8">
          <cell r="B8" t="str">
            <v>Carbon neutral</v>
          </cell>
        </row>
        <row r="9">
          <cell r="B9" t="str">
            <v>Rationalization</v>
          </cell>
        </row>
        <row r="10">
          <cell r="B10" t="str">
            <v>Renewal Of Production Equipment</v>
          </cell>
        </row>
        <row r="11">
          <cell r="B11" t="str">
            <v>Quality Countermeasure</v>
          </cell>
        </row>
        <row r="12">
          <cell r="B12" t="str">
            <v>Improvement of work environment</v>
          </cell>
        </row>
        <row r="13">
          <cell r="B13" t="str">
            <v>Environmental Protection Measures</v>
          </cell>
        </row>
        <row r="14">
          <cell r="B14" t="str">
            <v>R &amp; D Installation &amp; Equipments</v>
          </cell>
        </row>
        <row r="15">
          <cell r="B15" t="str">
            <v xml:space="preserve">Equipment for Automation </v>
          </cell>
        </row>
        <row r="16">
          <cell r="B16" t="str">
            <v>Production Engineering Research Fee</v>
          </cell>
        </row>
        <row r="17">
          <cell r="B17" t="str">
            <v>Disaster Preparation</v>
          </cell>
        </row>
        <row r="18">
          <cell r="B18" t="str">
            <v>Education and human resource development</v>
          </cell>
        </row>
        <row r="19">
          <cell r="B19" t="str">
            <v>Land Acquisition</v>
          </cell>
        </row>
        <row r="20">
          <cell r="B20" t="str">
            <v>Others (Prod.)</v>
          </cell>
        </row>
        <row r="21">
          <cell r="B21" t="str">
            <v>Equipment etc. for sales</v>
          </cell>
        </row>
        <row r="22">
          <cell r="B22" t="str">
            <v>Land (sales)</v>
          </cell>
        </row>
        <row r="23">
          <cell r="B23" t="str">
            <v>Computers used in office</v>
          </cell>
        </row>
        <row r="24">
          <cell r="B24" t="str">
            <v>Others (admin.)</v>
          </cell>
        </row>
        <row r="25">
          <cell r="B25" t="str">
            <v>Land (Admin)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3031-B955-4601-B09E-A3A77264249F}">
  <dimension ref="A1:AM314"/>
  <sheetViews>
    <sheetView tabSelected="1" topLeftCell="F1" zoomScaleNormal="100" workbookViewId="0">
      <pane ySplit="8" topLeftCell="A9" activePane="bottomLeft" state="frozen"/>
      <selection pane="bottomLeft" activeCell="AN8" sqref="AN8"/>
    </sheetView>
  </sheetViews>
  <sheetFormatPr defaultColWidth="13.140625" defaultRowHeight="15.95" customHeight="1"/>
  <cols>
    <col min="1" max="1" width="13.140625" style="1"/>
    <col min="2" max="2" width="29.7109375" style="1" customWidth="1"/>
    <col min="3" max="3" width="29.85546875" style="2" customWidth="1"/>
    <col min="4" max="4" width="28.85546875" style="3" customWidth="1"/>
    <col min="5" max="5" width="19.85546875" style="4" customWidth="1"/>
    <col min="6" max="6" width="11.140625" style="1" customWidth="1"/>
    <col min="7" max="7" width="18.7109375" style="1" customWidth="1"/>
    <col min="8" max="8" width="9" style="1" customWidth="1"/>
    <col min="9" max="9" width="11.7109375" style="5" customWidth="1"/>
    <col min="10" max="10" width="9.85546875" style="5" customWidth="1"/>
    <col min="11" max="11" width="5.5703125" style="6" customWidth="1"/>
    <col min="12" max="12" width="18.28515625" style="1" customWidth="1"/>
    <col min="13" max="13" width="8.42578125" style="1" customWidth="1"/>
    <col min="14" max="21" width="13.140625" style="1" hidden="1" customWidth="1"/>
    <col min="22" max="34" width="0" style="1" hidden="1" customWidth="1"/>
    <col min="35" max="35" width="13.140625" style="1"/>
    <col min="36" max="36" width="17.140625" style="1" customWidth="1"/>
    <col min="37" max="37" width="18" style="1" customWidth="1"/>
    <col min="38" max="16384" width="13.140625" style="1"/>
  </cols>
  <sheetData>
    <row r="1" spans="1:39" ht="15.95" customHeight="1">
      <c r="M1" s="7"/>
      <c r="N1" s="8"/>
      <c r="O1" s="7"/>
      <c r="P1" s="9" t="e">
        <f>SUM(#REF!)</f>
        <v>#REF!</v>
      </c>
      <c r="Q1" s="7"/>
      <c r="R1" s="9" t="e">
        <f>SUM(#REF!)</f>
        <v>#REF!</v>
      </c>
      <c r="S1" s="10"/>
      <c r="T1" s="9" t="e">
        <f>SUM(#REF!)</f>
        <v>#REF!</v>
      </c>
      <c r="U1" s="7"/>
      <c r="V1" s="9" t="e">
        <f>SUM(#REF!)</f>
        <v>#REF!</v>
      </c>
      <c r="W1" s="7"/>
      <c r="X1" s="9" t="e">
        <f>SUM(#REF!)</f>
        <v>#REF!</v>
      </c>
      <c r="Y1" s="7"/>
      <c r="Z1" s="9" t="e">
        <f>SUM(#REF!)</f>
        <v>#REF!</v>
      </c>
      <c r="AA1" s="7"/>
      <c r="AB1" s="9" t="e">
        <f>SUM(#REF!)</f>
        <v>#REF!</v>
      </c>
      <c r="AD1" s="9" t="e">
        <f>SUM(#REF!)</f>
        <v>#REF!</v>
      </c>
      <c r="AF1" s="9" t="e">
        <f>SUM(#REF!)</f>
        <v>#REF!</v>
      </c>
    </row>
    <row r="2" spans="1:39" ht="15.95" customHeight="1">
      <c r="A2" s="11" t="s">
        <v>0</v>
      </c>
      <c r="M2" s="7"/>
      <c r="N2" s="8"/>
      <c r="O2" s="7"/>
      <c r="P2" s="7"/>
      <c r="Q2" s="7"/>
      <c r="R2" s="10"/>
      <c r="S2" s="10"/>
      <c r="T2" s="7"/>
      <c r="U2" s="7"/>
      <c r="V2" s="7"/>
      <c r="W2" s="7"/>
      <c r="X2" s="7"/>
      <c r="Y2" s="7"/>
      <c r="Z2" s="7"/>
      <c r="AA2" s="7"/>
      <c r="AB2" s="12"/>
    </row>
    <row r="3" spans="1:39" ht="15.95" customHeight="1">
      <c r="A3" s="11"/>
      <c r="I3" s="13"/>
      <c r="M3" s="7"/>
      <c r="N3" s="8"/>
      <c r="O3" s="7"/>
      <c r="P3" s="10" t="e">
        <f>SUBTOTAL(9,#REF!)</f>
        <v>#REF!</v>
      </c>
      <c r="Q3" s="7"/>
      <c r="R3" s="10" t="e">
        <f>SUBTOTAL(9,#REF!)</f>
        <v>#REF!</v>
      </c>
      <c r="S3" s="10"/>
      <c r="T3" s="10">
        <f>SUBTOTAL(9,T9:T18)</f>
        <v>0</v>
      </c>
      <c r="U3" s="7"/>
      <c r="V3" s="10">
        <f>SUBTOTAL(9,V9:V18)</f>
        <v>0</v>
      </c>
      <c r="W3" s="7"/>
      <c r="X3" s="10">
        <f>SUBTOTAL(9,X9:X18)</f>
        <v>0</v>
      </c>
      <c r="Y3" s="7"/>
      <c r="Z3" s="10">
        <f>SUBTOTAL(9,Z9:Z18)</f>
        <v>2363.3330000000001</v>
      </c>
      <c r="AA3" s="7"/>
      <c r="AB3" s="10" t="e">
        <f>SUBTOTAL(9,#REF!)</f>
        <v>#REF!</v>
      </c>
      <c r="AD3" s="10" t="e">
        <f>SUBTOTAL(9,#REF!)</f>
        <v>#REF!</v>
      </c>
      <c r="AF3" s="10" t="e">
        <f>SUBTOTAL(9,#REF!)</f>
        <v>#REF!</v>
      </c>
    </row>
    <row r="4" spans="1:39" ht="15.95" customHeight="1">
      <c r="A4" s="14" t="s">
        <v>1</v>
      </c>
      <c r="B4" s="15" t="s">
        <v>2</v>
      </c>
      <c r="C4" s="2" t="s">
        <v>3</v>
      </c>
      <c r="D4" s="3">
        <f>+VALUE(RIGHT(B4,4))</f>
        <v>2026</v>
      </c>
      <c r="F4" s="16"/>
      <c r="G4" s="14" t="s">
        <v>4</v>
      </c>
      <c r="L4" s="17">
        <f>L5/1000000</f>
        <v>10563.19139</v>
      </c>
      <c r="M4" s="7"/>
      <c r="N4" s="8"/>
      <c r="O4" s="7"/>
      <c r="P4" s="7">
        <f>+IF($D$4=P$7,1,IF($D$4&gt;P$7,0,0))</f>
        <v>0</v>
      </c>
      <c r="Q4" s="7"/>
      <c r="R4" s="10">
        <f>+IF($D$4=R$7,1,IF($D$4&gt;R$7,0,+P4+1))</f>
        <v>0</v>
      </c>
      <c r="S4" s="10"/>
      <c r="T4" s="7">
        <f>+IF($D$4=T$7,1,IF($D$4&gt;T$7,0,+R4+1))</f>
        <v>0</v>
      </c>
      <c r="U4" s="7"/>
      <c r="V4" s="7">
        <f>+IF($D$4=V$7,1,IF($D$4&gt;V$7,0,+T4+1))</f>
        <v>0</v>
      </c>
      <c r="W4" s="7"/>
      <c r="X4" s="7">
        <f>+IF($D$4=X$7,1,IF($D$4&gt;X$7,0,+V4+1))</f>
        <v>0</v>
      </c>
      <c r="Y4" s="7"/>
      <c r="Z4" s="7">
        <f>+IF($D$4=Z$7,1,IF($D$4&gt;Z$7,0,+X4+1))</f>
        <v>1</v>
      </c>
      <c r="AA4" s="7"/>
      <c r="AB4" s="12">
        <f>+IF($D$4=AB$7,1,IF($D$4&gt;AB$7,0,+Z4+1))</f>
        <v>2</v>
      </c>
      <c r="AD4" s="12">
        <f>+IF($D$4=AD$7,1,IF($D$4&gt;AD$7,0,+AB4+1))</f>
        <v>3</v>
      </c>
      <c r="AF4" s="12">
        <f>+IF($D$4=AF$7,1,IF($D$4&gt;AF$7,0,+AD4+1))</f>
        <v>4</v>
      </c>
    </row>
    <row r="5" spans="1:39" ht="15.95" customHeight="1">
      <c r="A5" s="14" t="s">
        <v>5</v>
      </c>
      <c r="B5" s="18" t="s">
        <v>6</v>
      </c>
      <c r="C5" s="2" t="s">
        <v>3</v>
      </c>
      <c r="L5" s="6">
        <f>L7*1000</f>
        <v>10563191390</v>
      </c>
      <c r="M5" s="7"/>
      <c r="N5" s="8"/>
      <c r="O5" s="7"/>
      <c r="P5" s="7"/>
      <c r="Q5" s="7"/>
      <c r="R5" s="10"/>
      <c r="S5" s="10"/>
      <c r="T5" s="7">
        <v>0</v>
      </c>
      <c r="U5" s="7"/>
      <c r="V5" s="7">
        <v>0</v>
      </c>
      <c r="W5" s="7"/>
      <c r="X5" s="7">
        <v>1</v>
      </c>
      <c r="Y5" s="7"/>
      <c r="Z5" s="7">
        <v>2</v>
      </c>
      <c r="AA5" s="7"/>
      <c r="AB5" s="12">
        <v>3</v>
      </c>
      <c r="AD5" s="12">
        <v>4</v>
      </c>
      <c r="AF5" s="12">
        <v>5</v>
      </c>
    </row>
    <row r="6" spans="1:39" ht="15.95" customHeight="1">
      <c r="A6" s="14" t="s">
        <v>7</v>
      </c>
      <c r="B6" s="18" t="s">
        <v>8</v>
      </c>
      <c r="C6" s="2" t="s">
        <v>3</v>
      </c>
      <c r="D6" s="3" t="str">
        <f>VLOOKUP(B6,[1]Code!D:E,2,0)</f>
        <v>2500</v>
      </c>
      <c r="M6" s="7"/>
      <c r="N6" s="8"/>
      <c r="O6" s="7"/>
      <c r="P6" s="7"/>
      <c r="Q6" s="7"/>
      <c r="R6" s="10"/>
      <c r="S6" s="10"/>
      <c r="T6" s="7"/>
      <c r="U6" s="7"/>
      <c r="V6" s="7"/>
      <c r="W6" s="7"/>
      <c r="X6" s="7"/>
      <c r="Y6" s="7"/>
      <c r="Z6" s="7"/>
      <c r="AA6" s="7"/>
      <c r="AB6" s="12"/>
      <c r="AD6" s="12"/>
      <c r="AF6" s="12"/>
    </row>
    <row r="7" spans="1:39" ht="15.95" customHeight="1">
      <c r="E7" s="4" t="s">
        <v>9</v>
      </c>
      <c r="F7" s="1" t="s">
        <v>9</v>
      </c>
      <c r="G7" s="1" t="s">
        <v>9</v>
      </c>
      <c r="H7" s="1" t="s">
        <v>9</v>
      </c>
      <c r="I7" s="5" t="s">
        <v>9</v>
      </c>
      <c r="J7" s="19"/>
      <c r="L7" s="20">
        <f>SUBTOTAL(9,L8:L388)</f>
        <v>10563191.390000001</v>
      </c>
      <c r="M7" s="12"/>
      <c r="N7" s="21"/>
      <c r="O7" s="12"/>
      <c r="P7" s="22">
        <v>2021</v>
      </c>
      <c r="Q7" s="22"/>
      <c r="R7" s="23">
        <v>2022</v>
      </c>
      <c r="S7" s="24"/>
      <c r="T7" s="22">
        <v>2023</v>
      </c>
      <c r="U7" s="12"/>
      <c r="V7" s="12">
        <v>2024</v>
      </c>
      <c r="W7" s="12"/>
      <c r="X7" s="12">
        <v>2025</v>
      </c>
      <c r="Y7" s="12"/>
      <c r="Z7" s="12">
        <v>2026</v>
      </c>
      <c r="AA7" s="12"/>
      <c r="AB7" s="12">
        <v>2027</v>
      </c>
      <c r="AD7" s="12">
        <v>2028</v>
      </c>
      <c r="AF7" s="12">
        <v>2029</v>
      </c>
    </row>
    <row r="8" spans="1:39" ht="30.75" customHeight="1">
      <c r="A8" s="25" t="s">
        <v>10</v>
      </c>
      <c r="B8" s="26" t="s">
        <v>11</v>
      </c>
      <c r="C8" s="27" t="s">
        <v>12</v>
      </c>
      <c r="D8" s="28" t="s">
        <v>13</v>
      </c>
      <c r="E8" s="29" t="s">
        <v>14</v>
      </c>
      <c r="F8" s="29" t="s">
        <v>15</v>
      </c>
      <c r="G8" s="29" t="s">
        <v>16</v>
      </c>
      <c r="H8" s="29" t="s">
        <v>17</v>
      </c>
      <c r="I8" s="30" t="s">
        <v>18</v>
      </c>
      <c r="J8" s="31" t="s">
        <v>19</v>
      </c>
      <c r="K8" s="32" t="s">
        <v>20</v>
      </c>
      <c r="L8" s="33" t="s">
        <v>21</v>
      </c>
      <c r="M8" s="34" t="s">
        <v>22</v>
      </c>
      <c r="N8" s="35" t="s">
        <v>23</v>
      </c>
      <c r="O8" s="36" t="s">
        <v>24</v>
      </c>
      <c r="P8" s="34" t="s">
        <v>25</v>
      </c>
      <c r="Q8" s="36" t="s">
        <v>26</v>
      </c>
      <c r="R8" s="37" t="s">
        <v>27</v>
      </c>
      <c r="S8" s="38" t="s">
        <v>28</v>
      </c>
      <c r="T8" s="34" t="s">
        <v>29</v>
      </c>
      <c r="U8" s="36" t="s">
        <v>30</v>
      </c>
      <c r="V8" s="34" t="s">
        <v>31</v>
      </c>
      <c r="W8" s="36" t="s">
        <v>32</v>
      </c>
      <c r="X8" s="34" t="s">
        <v>33</v>
      </c>
      <c r="Y8" s="36" t="s">
        <v>34</v>
      </c>
      <c r="Z8" s="34" t="s">
        <v>35</v>
      </c>
      <c r="AA8" s="36" t="s">
        <v>36</v>
      </c>
      <c r="AB8" s="34" t="s">
        <v>37</v>
      </c>
      <c r="AC8" s="36" t="s">
        <v>38</v>
      </c>
      <c r="AD8" s="34" t="s">
        <v>39</v>
      </c>
      <c r="AE8" s="36" t="s">
        <v>40</v>
      </c>
      <c r="AF8" s="34" t="s">
        <v>41</v>
      </c>
      <c r="AG8" s="39" t="s">
        <v>42</v>
      </c>
      <c r="AH8" s="40" t="s">
        <v>10</v>
      </c>
      <c r="AI8" s="39" t="s">
        <v>43</v>
      </c>
      <c r="AJ8" s="39" t="s">
        <v>44</v>
      </c>
      <c r="AK8" s="4" t="s">
        <v>45</v>
      </c>
      <c r="AL8" s="4" t="s">
        <v>46</v>
      </c>
      <c r="AM8" s="1" t="s">
        <v>47</v>
      </c>
    </row>
    <row r="9" spans="1:39" ht="15.95" customHeight="1">
      <c r="A9" s="41" t="s">
        <v>48</v>
      </c>
      <c r="B9" s="42" t="s">
        <v>49</v>
      </c>
      <c r="C9" s="43" t="s">
        <v>50</v>
      </c>
      <c r="D9" s="44" t="s">
        <v>51</v>
      </c>
      <c r="E9" s="42" t="s">
        <v>52</v>
      </c>
      <c r="F9" s="42" t="s">
        <v>53</v>
      </c>
      <c r="G9" s="42" t="s">
        <v>54</v>
      </c>
      <c r="H9" s="41">
        <v>2026</v>
      </c>
      <c r="I9" s="45" t="s">
        <v>55</v>
      </c>
      <c r="J9" s="45"/>
      <c r="K9" s="46">
        <v>4</v>
      </c>
      <c r="L9" s="47">
        <v>400</v>
      </c>
      <c r="M9" s="48">
        <f>+IF(E9="",0,VLOOKUP(E9,[1]Code!J:K,2,0))</f>
        <v>10</v>
      </c>
      <c r="N9" s="49">
        <f t="shared" ref="N9:N72" si="0">IF(ISERROR(1/M9),0,1/M9)</f>
        <v>0.1</v>
      </c>
      <c r="O9" s="50">
        <f t="shared" ref="O9:O72" si="1">+IF(P$4&lt;1,0,IF(P$4=1,$L9,0))</f>
        <v>0</v>
      </c>
      <c r="P9" s="50">
        <f t="shared" ref="P9:P72" si="2">+IF(P$4&lt;1,0,IF($M9&lt;P$4,0,ROUND($L9*$N9,3)))</f>
        <v>0</v>
      </c>
      <c r="Q9" s="50">
        <f t="shared" ref="Q9:Q72" si="3">+IF(R$4&lt;1,0,IF(R$4=1,$L9,O9-P9))</f>
        <v>0</v>
      </c>
      <c r="R9" s="50">
        <f t="shared" ref="R9:R72" si="4">+IF(R$4&lt;1,0,IF($M9&lt;R$4,0,ROUND($L9*$N9,3)))</f>
        <v>0</v>
      </c>
      <c r="S9" s="50">
        <f t="shared" ref="S9:S72" si="5">+IF(T$4&lt;1,0,IF(T$4=1,$L9,Q9-R9))</f>
        <v>0</v>
      </c>
      <c r="T9" s="50">
        <f t="shared" ref="T9:T72" si="6">+IF(T$4&lt;1,0,IF($M9&lt;T$4,0,ROUND($L9*$N9,3)))</f>
        <v>0</v>
      </c>
      <c r="U9" s="50">
        <f t="shared" ref="U9:U72" si="7">+IF(V$4&lt;1,0,IF(V$4=1,$L9,S9-T9))</f>
        <v>0</v>
      </c>
      <c r="V9" s="50">
        <f t="shared" ref="V9:V72" si="8">+IF(V$4&lt;1,0,IF($M9&lt;V$4,0,ROUND($L9*$N9,3)))</f>
        <v>0</v>
      </c>
      <c r="W9" s="50">
        <f t="shared" ref="W9:W72" si="9">+IF(X$4&lt;1,0,IF(X$4=1,$L9,U9-V9))</f>
        <v>0</v>
      </c>
      <c r="X9" s="50">
        <f t="shared" ref="X9:X72" si="10">+IF(X$4&lt;1,0,IF($M9&lt;X$4,0,ROUND($L9*$N9,3)))</f>
        <v>0</v>
      </c>
      <c r="Y9" s="50">
        <f t="shared" ref="Y9:Y72" si="11">+IF(Z$4&lt;1,0,IF(Z$4=1,$L9,W9-X9))</f>
        <v>400</v>
      </c>
      <c r="Z9" s="50">
        <f t="shared" ref="Z9:Z72" si="12">+IF(Z$4&lt;1,0,IF($M9&lt;Z$4,0,ROUND($L9*$N9,3)))</f>
        <v>40</v>
      </c>
      <c r="AA9" s="50">
        <f t="shared" ref="AA9:AA72" si="13">+IF(AB$4&lt;1,0,IF(AB$4=1,$L9,Y9-Z9))</f>
        <v>360</v>
      </c>
      <c r="AB9" s="50">
        <f t="shared" ref="AB9:AB72" si="14">+IF(AB$4&lt;1,0,IF($M9&lt;AB$4,0,ROUND($L9*$N9,3)))</f>
        <v>40</v>
      </c>
      <c r="AC9" s="50">
        <f t="shared" ref="AC9:AC72" si="15">+IF(AD$4&lt;1,0,IF(AD$4=1,$L9,AA9-AB9))</f>
        <v>320</v>
      </c>
      <c r="AD9" s="50">
        <f t="shared" ref="AD9:AD72" si="16">+IF(AD$4&lt;1,0,IF($M9&lt;AD$4,0,ROUND($L9*$N9,3)))</f>
        <v>40</v>
      </c>
      <c r="AE9" s="50">
        <f t="shared" ref="AE9:AE72" si="17">+IF(AF$4&lt;1,0,IF(AF$4=1,$L9,AC9-AD9))</f>
        <v>280</v>
      </c>
      <c r="AF9" s="50">
        <f t="shared" ref="AF9:AF72" si="18">+IF(AF$4&lt;1,0,IF($M9&lt;AF$4,0,ROUND($L9*$N9,3)))</f>
        <v>40</v>
      </c>
      <c r="AG9" s="51" t="str">
        <f t="shared" ref="AG9:AG72" si="19">E9&amp;F9</f>
        <v>15 VEHICLESUN125</v>
      </c>
      <c r="AH9" s="41"/>
      <c r="AI9" s="51" t="s">
        <v>56</v>
      </c>
      <c r="AJ9" s="51" t="s">
        <v>57</v>
      </c>
    </row>
    <row r="10" spans="1:39" ht="15.95" customHeight="1">
      <c r="A10" s="41" t="s">
        <v>58</v>
      </c>
      <c r="B10" s="42" t="s">
        <v>49</v>
      </c>
      <c r="C10" s="43" t="s">
        <v>50</v>
      </c>
      <c r="D10" s="52" t="s">
        <v>59</v>
      </c>
      <c r="E10" s="42" t="s">
        <v>52</v>
      </c>
      <c r="F10" s="42" t="s">
        <v>60</v>
      </c>
      <c r="G10" s="42" t="s">
        <v>54</v>
      </c>
      <c r="H10" s="41">
        <v>2026</v>
      </c>
      <c r="I10" s="45" t="s">
        <v>55</v>
      </c>
      <c r="J10" s="45"/>
      <c r="K10" s="46">
        <v>2</v>
      </c>
      <c r="L10" s="47">
        <v>200</v>
      </c>
      <c r="M10" s="48">
        <f>+IF(E10="",0,VLOOKUP(E10,[1]Code!J:K,2,0))</f>
        <v>10</v>
      </c>
      <c r="N10" s="49">
        <f t="shared" si="0"/>
        <v>0.1</v>
      </c>
      <c r="O10" s="50">
        <f t="shared" si="1"/>
        <v>0</v>
      </c>
      <c r="P10" s="50">
        <f t="shared" si="2"/>
        <v>0</v>
      </c>
      <c r="Q10" s="50">
        <f t="shared" si="3"/>
        <v>0</v>
      </c>
      <c r="R10" s="50">
        <f t="shared" si="4"/>
        <v>0</v>
      </c>
      <c r="S10" s="50">
        <f t="shared" si="5"/>
        <v>0</v>
      </c>
      <c r="T10" s="50">
        <f t="shared" si="6"/>
        <v>0</v>
      </c>
      <c r="U10" s="50">
        <f t="shared" si="7"/>
        <v>0</v>
      </c>
      <c r="V10" s="50">
        <f t="shared" si="8"/>
        <v>0</v>
      </c>
      <c r="W10" s="50">
        <f t="shared" si="9"/>
        <v>0</v>
      </c>
      <c r="X10" s="50">
        <f t="shared" si="10"/>
        <v>0</v>
      </c>
      <c r="Y10" s="50">
        <f t="shared" si="11"/>
        <v>200</v>
      </c>
      <c r="Z10" s="50">
        <f t="shared" si="12"/>
        <v>20</v>
      </c>
      <c r="AA10" s="50">
        <f t="shared" si="13"/>
        <v>180</v>
      </c>
      <c r="AB10" s="50">
        <f t="shared" si="14"/>
        <v>20</v>
      </c>
      <c r="AC10" s="50">
        <f t="shared" si="15"/>
        <v>160</v>
      </c>
      <c r="AD10" s="50">
        <f t="shared" si="16"/>
        <v>20</v>
      </c>
      <c r="AE10" s="50">
        <f t="shared" si="17"/>
        <v>140</v>
      </c>
      <c r="AF10" s="50">
        <f t="shared" si="18"/>
        <v>20</v>
      </c>
      <c r="AG10" s="51" t="str">
        <f t="shared" si="19"/>
        <v>15 VEHICLESUZ125</v>
      </c>
      <c r="AH10" s="41"/>
      <c r="AI10" s="51" t="s">
        <v>56</v>
      </c>
      <c r="AJ10" s="51" t="s">
        <v>57</v>
      </c>
    </row>
    <row r="11" spans="1:39" ht="15.95" customHeight="1">
      <c r="A11" s="41" t="s">
        <v>61</v>
      </c>
      <c r="B11" s="42" t="s">
        <v>49</v>
      </c>
      <c r="C11" s="43" t="s">
        <v>50</v>
      </c>
      <c r="D11" s="44" t="s">
        <v>62</v>
      </c>
      <c r="E11" s="42" t="s">
        <v>52</v>
      </c>
      <c r="F11" s="42" t="s">
        <v>63</v>
      </c>
      <c r="G11" s="42" t="s">
        <v>54</v>
      </c>
      <c r="H11" s="41">
        <v>2026</v>
      </c>
      <c r="I11" s="45" t="s">
        <v>55</v>
      </c>
      <c r="J11" s="45"/>
      <c r="K11" s="46">
        <v>8</v>
      </c>
      <c r="L11" s="47">
        <v>800</v>
      </c>
      <c r="M11" s="48">
        <f>+IF(E11="",0,VLOOKUP(E11,[1]Code!J:K,2,0))</f>
        <v>10</v>
      </c>
      <c r="N11" s="49">
        <f t="shared" si="0"/>
        <v>0.1</v>
      </c>
      <c r="O11" s="50">
        <f t="shared" si="1"/>
        <v>0</v>
      </c>
      <c r="P11" s="50">
        <f t="shared" si="2"/>
        <v>0</v>
      </c>
      <c r="Q11" s="50">
        <f t="shared" si="3"/>
        <v>0</v>
      </c>
      <c r="R11" s="50">
        <f t="shared" si="4"/>
        <v>0</v>
      </c>
      <c r="S11" s="50">
        <f t="shared" si="5"/>
        <v>0</v>
      </c>
      <c r="T11" s="50">
        <f t="shared" si="6"/>
        <v>0</v>
      </c>
      <c r="U11" s="50">
        <f t="shared" si="7"/>
        <v>0</v>
      </c>
      <c r="V11" s="50">
        <f t="shared" si="8"/>
        <v>0</v>
      </c>
      <c r="W11" s="50">
        <f t="shared" si="9"/>
        <v>0</v>
      </c>
      <c r="X11" s="50">
        <f t="shared" si="10"/>
        <v>0</v>
      </c>
      <c r="Y11" s="50">
        <f t="shared" si="11"/>
        <v>800</v>
      </c>
      <c r="Z11" s="50">
        <f t="shared" si="12"/>
        <v>80</v>
      </c>
      <c r="AA11" s="50">
        <f t="shared" si="13"/>
        <v>720</v>
      </c>
      <c r="AB11" s="50">
        <f t="shared" si="14"/>
        <v>80</v>
      </c>
      <c r="AC11" s="50">
        <f t="shared" si="15"/>
        <v>640</v>
      </c>
      <c r="AD11" s="50">
        <f t="shared" si="16"/>
        <v>80</v>
      </c>
      <c r="AE11" s="50">
        <f t="shared" si="17"/>
        <v>560</v>
      </c>
      <c r="AF11" s="50">
        <f t="shared" si="18"/>
        <v>80</v>
      </c>
      <c r="AG11" s="51" t="str">
        <f t="shared" si="19"/>
        <v>15 VEHICLESUB125</v>
      </c>
      <c r="AH11" s="41"/>
      <c r="AI11" s="51" t="s">
        <v>56</v>
      </c>
      <c r="AJ11" s="51" t="s">
        <v>57</v>
      </c>
    </row>
    <row r="12" spans="1:39" ht="15.95" customHeight="1">
      <c r="A12" s="41" t="s">
        <v>64</v>
      </c>
      <c r="B12" s="42" t="s">
        <v>49</v>
      </c>
      <c r="C12" s="43" t="s">
        <v>50</v>
      </c>
      <c r="D12" s="52" t="s">
        <v>65</v>
      </c>
      <c r="E12" s="42" t="s">
        <v>52</v>
      </c>
      <c r="F12" s="42" t="s">
        <v>66</v>
      </c>
      <c r="G12" s="42" t="s">
        <v>54</v>
      </c>
      <c r="H12" s="41">
        <v>2026</v>
      </c>
      <c r="I12" s="45" t="s">
        <v>67</v>
      </c>
      <c r="J12" s="45"/>
      <c r="K12" s="46">
        <v>8</v>
      </c>
      <c r="L12" s="47">
        <v>800</v>
      </c>
      <c r="M12" s="48">
        <f>+IF(E12="",0,VLOOKUP(E12,[1]Code!J:K,2,0))</f>
        <v>10</v>
      </c>
      <c r="N12" s="49">
        <f t="shared" si="0"/>
        <v>0.1</v>
      </c>
      <c r="O12" s="50">
        <f t="shared" si="1"/>
        <v>0</v>
      </c>
      <c r="P12" s="50">
        <f t="shared" si="2"/>
        <v>0</v>
      </c>
      <c r="Q12" s="50">
        <f t="shared" si="3"/>
        <v>0</v>
      </c>
      <c r="R12" s="50">
        <f t="shared" si="4"/>
        <v>0</v>
      </c>
      <c r="S12" s="50">
        <f t="shared" si="5"/>
        <v>0</v>
      </c>
      <c r="T12" s="50">
        <f t="shared" si="6"/>
        <v>0</v>
      </c>
      <c r="U12" s="50">
        <f t="shared" si="7"/>
        <v>0</v>
      </c>
      <c r="V12" s="50">
        <f t="shared" si="8"/>
        <v>0</v>
      </c>
      <c r="W12" s="50">
        <f t="shared" si="9"/>
        <v>0</v>
      </c>
      <c r="X12" s="50">
        <f t="shared" si="10"/>
        <v>0</v>
      </c>
      <c r="Y12" s="50">
        <f t="shared" si="11"/>
        <v>800</v>
      </c>
      <c r="Z12" s="50">
        <f t="shared" si="12"/>
        <v>80</v>
      </c>
      <c r="AA12" s="50">
        <f t="shared" si="13"/>
        <v>720</v>
      </c>
      <c r="AB12" s="50">
        <f t="shared" si="14"/>
        <v>80</v>
      </c>
      <c r="AC12" s="50">
        <f t="shared" si="15"/>
        <v>640</v>
      </c>
      <c r="AD12" s="50">
        <f t="shared" si="16"/>
        <v>80</v>
      </c>
      <c r="AE12" s="50">
        <f t="shared" si="17"/>
        <v>560</v>
      </c>
      <c r="AF12" s="50">
        <f t="shared" si="18"/>
        <v>80</v>
      </c>
      <c r="AG12" s="51" t="str">
        <f t="shared" si="19"/>
        <v>15 VEHICLESOther scoter</v>
      </c>
      <c r="AH12" s="41"/>
      <c r="AI12" s="51" t="s">
        <v>56</v>
      </c>
      <c r="AJ12" s="51" t="s">
        <v>57</v>
      </c>
    </row>
    <row r="13" spans="1:39" ht="15.95" customHeight="1">
      <c r="A13" s="41" t="s">
        <v>68</v>
      </c>
      <c r="B13" s="42" t="s">
        <v>49</v>
      </c>
      <c r="C13" s="43" t="s">
        <v>69</v>
      </c>
      <c r="D13" s="44" t="s">
        <v>70</v>
      </c>
      <c r="E13" s="42" t="s">
        <v>71</v>
      </c>
      <c r="F13" s="42" t="s">
        <v>72</v>
      </c>
      <c r="G13" s="42" t="s">
        <v>54</v>
      </c>
      <c r="H13" s="41">
        <v>2026</v>
      </c>
      <c r="I13" s="45" t="s">
        <v>73</v>
      </c>
      <c r="J13" s="45"/>
      <c r="K13" s="46">
        <v>1</v>
      </c>
      <c r="L13" s="47">
        <v>5000</v>
      </c>
      <c r="M13" s="48">
        <f>+IF(E13="",0,VLOOKUP(E13,[1]Code!J:K,2,0))</f>
        <v>6</v>
      </c>
      <c r="N13" s="49">
        <f t="shared" si="0"/>
        <v>0.16666666666666666</v>
      </c>
      <c r="O13" s="50">
        <f t="shared" si="1"/>
        <v>0</v>
      </c>
      <c r="P13" s="50">
        <f t="shared" si="2"/>
        <v>0</v>
      </c>
      <c r="Q13" s="50">
        <f t="shared" si="3"/>
        <v>0</v>
      </c>
      <c r="R13" s="50">
        <f t="shared" si="4"/>
        <v>0</v>
      </c>
      <c r="S13" s="50">
        <f t="shared" si="5"/>
        <v>0</v>
      </c>
      <c r="T13" s="50">
        <f t="shared" si="6"/>
        <v>0</v>
      </c>
      <c r="U13" s="50">
        <f t="shared" si="7"/>
        <v>0</v>
      </c>
      <c r="V13" s="50">
        <f t="shared" si="8"/>
        <v>0</v>
      </c>
      <c r="W13" s="50">
        <f t="shared" si="9"/>
        <v>0</v>
      </c>
      <c r="X13" s="50">
        <f t="shared" si="10"/>
        <v>0</v>
      </c>
      <c r="Y13" s="50">
        <f t="shared" si="11"/>
        <v>5000</v>
      </c>
      <c r="Z13" s="50">
        <f t="shared" si="12"/>
        <v>833.33299999999997</v>
      </c>
      <c r="AA13" s="50">
        <f t="shared" si="13"/>
        <v>4166.6670000000004</v>
      </c>
      <c r="AB13" s="50">
        <f t="shared" si="14"/>
        <v>833.33299999999997</v>
      </c>
      <c r="AC13" s="50">
        <f t="shared" si="15"/>
        <v>3333.3340000000003</v>
      </c>
      <c r="AD13" s="50">
        <f t="shared" si="16"/>
        <v>833.33299999999997</v>
      </c>
      <c r="AE13" s="50">
        <f t="shared" si="17"/>
        <v>2500.0010000000002</v>
      </c>
      <c r="AF13" s="50">
        <f t="shared" si="18"/>
        <v>833.33299999999997</v>
      </c>
      <c r="AG13" s="51" t="str">
        <f t="shared" si="19"/>
        <v xml:space="preserve">13 INTANGIBLE ASSETSALL </v>
      </c>
      <c r="AH13" s="41"/>
      <c r="AI13" s="51" t="s">
        <v>56</v>
      </c>
      <c r="AJ13" s="51" t="s">
        <v>57</v>
      </c>
    </row>
    <row r="14" spans="1:39" ht="15.95" customHeight="1">
      <c r="A14" s="41" t="s">
        <v>74</v>
      </c>
      <c r="B14" s="42" t="s">
        <v>49</v>
      </c>
      <c r="C14" s="43" t="s">
        <v>69</v>
      </c>
      <c r="D14" s="44" t="s">
        <v>75</v>
      </c>
      <c r="E14" s="42" t="s">
        <v>71</v>
      </c>
      <c r="F14" s="42" t="s">
        <v>72</v>
      </c>
      <c r="G14" s="42" t="s">
        <v>54</v>
      </c>
      <c r="H14" s="41">
        <v>2026</v>
      </c>
      <c r="I14" s="45" t="s">
        <v>76</v>
      </c>
      <c r="J14" s="45"/>
      <c r="K14" s="46">
        <v>1</v>
      </c>
      <c r="L14" s="47">
        <v>2500</v>
      </c>
      <c r="M14" s="48">
        <f>+IF(E14="",0,VLOOKUP(E14,[1]Code!J:K,2,0))</f>
        <v>6</v>
      </c>
      <c r="N14" s="49">
        <f t="shared" si="0"/>
        <v>0.16666666666666666</v>
      </c>
      <c r="O14" s="50">
        <f t="shared" si="1"/>
        <v>0</v>
      </c>
      <c r="P14" s="50">
        <f t="shared" si="2"/>
        <v>0</v>
      </c>
      <c r="Q14" s="50">
        <f t="shared" si="3"/>
        <v>0</v>
      </c>
      <c r="R14" s="50">
        <f t="shared" si="4"/>
        <v>0</v>
      </c>
      <c r="S14" s="50">
        <f t="shared" si="5"/>
        <v>0</v>
      </c>
      <c r="T14" s="50">
        <f t="shared" si="6"/>
        <v>0</v>
      </c>
      <c r="U14" s="50">
        <f t="shared" si="7"/>
        <v>0</v>
      </c>
      <c r="V14" s="50">
        <f t="shared" si="8"/>
        <v>0</v>
      </c>
      <c r="W14" s="50">
        <f t="shared" si="9"/>
        <v>0</v>
      </c>
      <c r="X14" s="50">
        <f t="shared" si="10"/>
        <v>0</v>
      </c>
      <c r="Y14" s="50">
        <f t="shared" si="11"/>
        <v>2500</v>
      </c>
      <c r="Z14" s="50">
        <f t="shared" si="12"/>
        <v>416.66699999999997</v>
      </c>
      <c r="AA14" s="50">
        <f t="shared" si="13"/>
        <v>2083.3330000000001</v>
      </c>
      <c r="AB14" s="50">
        <f t="shared" si="14"/>
        <v>416.66699999999997</v>
      </c>
      <c r="AC14" s="50">
        <f t="shared" si="15"/>
        <v>1666.6660000000002</v>
      </c>
      <c r="AD14" s="50">
        <f t="shared" si="16"/>
        <v>416.66699999999997</v>
      </c>
      <c r="AE14" s="50">
        <f t="shared" si="17"/>
        <v>1249.9990000000003</v>
      </c>
      <c r="AF14" s="50">
        <f t="shared" si="18"/>
        <v>416.66699999999997</v>
      </c>
      <c r="AG14" s="51" t="str">
        <f t="shared" si="19"/>
        <v xml:space="preserve">13 INTANGIBLE ASSETSALL </v>
      </c>
      <c r="AH14" s="41"/>
      <c r="AI14" s="51" t="s">
        <v>56</v>
      </c>
      <c r="AJ14" s="51" t="s">
        <v>57</v>
      </c>
    </row>
    <row r="15" spans="1:39" ht="15.95" customHeight="1">
      <c r="A15" s="41" t="s">
        <v>77</v>
      </c>
      <c r="B15" s="42" t="s">
        <v>49</v>
      </c>
      <c r="C15" s="43" t="s">
        <v>69</v>
      </c>
      <c r="D15" s="44" t="s">
        <v>78</v>
      </c>
      <c r="E15" s="42" t="s">
        <v>71</v>
      </c>
      <c r="F15" s="42" t="s">
        <v>72</v>
      </c>
      <c r="G15" s="42" t="s">
        <v>54</v>
      </c>
      <c r="H15" s="41">
        <v>2026</v>
      </c>
      <c r="I15" s="45" t="s">
        <v>73</v>
      </c>
      <c r="J15" s="45"/>
      <c r="K15" s="46">
        <v>1</v>
      </c>
      <c r="L15" s="47">
        <v>5000</v>
      </c>
      <c r="M15" s="48">
        <f>+IF(E15="",0,VLOOKUP(E15,[1]Code!J:K,2,0))</f>
        <v>6</v>
      </c>
      <c r="N15" s="49">
        <f t="shared" si="0"/>
        <v>0.16666666666666666</v>
      </c>
      <c r="O15" s="50">
        <f t="shared" si="1"/>
        <v>0</v>
      </c>
      <c r="P15" s="50">
        <f t="shared" si="2"/>
        <v>0</v>
      </c>
      <c r="Q15" s="50">
        <f t="shared" si="3"/>
        <v>0</v>
      </c>
      <c r="R15" s="50">
        <f t="shared" si="4"/>
        <v>0</v>
      </c>
      <c r="S15" s="50">
        <f t="shared" si="5"/>
        <v>0</v>
      </c>
      <c r="T15" s="50">
        <f t="shared" si="6"/>
        <v>0</v>
      </c>
      <c r="U15" s="50">
        <f t="shared" si="7"/>
        <v>0</v>
      </c>
      <c r="V15" s="50">
        <f t="shared" si="8"/>
        <v>0</v>
      </c>
      <c r="W15" s="50">
        <f t="shared" si="9"/>
        <v>0</v>
      </c>
      <c r="X15" s="50">
        <f t="shared" si="10"/>
        <v>0</v>
      </c>
      <c r="Y15" s="50">
        <f t="shared" si="11"/>
        <v>5000</v>
      </c>
      <c r="Z15" s="50">
        <f t="shared" si="12"/>
        <v>833.33299999999997</v>
      </c>
      <c r="AA15" s="50">
        <f t="shared" si="13"/>
        <v>4166.6670000000004</v>
      </c>
      <c r="AB15" s="50">
        <f t="shared" si="14"/>
        <v>833.33299999999997</v>
      </c>
      <c r="AC15" s="50">
        <f t="shared" si="15"/>
        <v>3333.3340000000003</v>
      </c>
      <c r="AD15" s="50">
        <f t="shared" si="16"/>
        <v>833.33299999999997</v>
      </c>
      <c r="AE15" s="50">
        <f t="shared" si="17"/>
        <v>2500.0010000000002</v>
      </c>
      <c r="AF15" s="50">
        <f t="shared" si="18"/>
        <v>833.33299999999997</v>
      </c>
      <c r="AG15" s="51" t="str">
        <f t="shared" si="19"/>
        <v xml:space="preserve">13 INTANGIBLE ASSETSALL </v>
      </c>
      <c r="AH15" s="41"/>
      <c r="AI15" s="51" t="s">
        <v>56</v>
      </c>
      <c r="AJ15" s="51" t="s">
        <v>57</v>
      </c>
    </row>
    <row r="16" spans="1:39" ht="15.95" customHeight="1">
      <c r="A16" s="41" t="s">
        <v>79</v>
      </c>
      <c r="B16" s="42" t="s">
        <v>49</v>
      </c>
      <c r="C16" s="43" t="s">
        <v>80</v>
      </c>
      <c r="D16" s="44" t="s">
        <v>81</v>
      </c>
      <c r="E16" s="42" t="s">
        <v>52</v>
      </c>
      <c r="F16" s="53" t="s">
        <v>53</v>
      </c>
      <c r="G16" s="42" t="s">
        <v>82</v>
      </c>
      <c r="H16" s="41">
        <v>2026</v>
      </c>
      <c r="I16" s="45">
        <v>46054</v>
      </c>
      <c r="J16" s="45"/>
      <c r="K16" s="46">
        <v>2</v>
      </c>
      <c r="L16" s="47">
        <v>200</v>
      </c>
      <c r="M16" s="48">
        <f>+IF(E16="",0,VLOOKUP(E16,[1]Code!J:K,2,0))</f>
        <v>10</v>
      </c>
      <c r="N16" s="49">
        <f t="shared" si="0"/>
        <v>0.1</v>
      </c>
      <c r="O16" s="50">
        <f t="shared" si="1"/>
        <v>0</v>
      </c>
      <c r="P16" s="50">
        <f t="shared" si="2"/>
        <v>0</v>
      </c>
      <c r="Q16" s="50">
        <f t="shared" si="3"/>
        <v>0</v>
      </c>
      <c r="R16" s="50">
        <f t="shared" si="4"/>
        <v>0</v>
      </c>
      <c r="S16" s="50">
        <f t="shared" si="5"/>
        <v>0</v>
      </c>
      <c r="T16" s="50">
        <f t="shared" si="6"/>
        <v>0</v>
      </c>
      <c r="U16" s="50">
        <f t="shared" si="7"/>
        <v>0</v>
      </c>
      <c r="V16" s="50">
        <f t="shared" si="8"/>
        <v>0</v>
      </c>
      <c r="W16" s="50">
        <f t="shared" si="9"/>
        <v>0</v>
      </c>
      <c r="X16" s="50">
        <f t="shared" si="10"/>
        <v>0</v>
      </c>
      <c r="Y16" s="50">
        <f t="shared" si="11"/>
        <v>200</v>
      </c>
      <c r="Z16" s="50">
        <f t="shared" si="12"/>
        <v>20</v>
      </c>
      <c r="AA16" s="50">
        <f t="shared" si="13"/>
        <v>180</v>
      </c>
      <c r="AB16" s="50">
        <f t="shared" si="14"/>
        <v>20</v>
      </c>
      <c r="AC16" s="50">
        <f t="shared" si="15"/>
        <v>160</v>
      </c>
      <c r="AD16" s="50">
        <f t="shared" si="16"/>
        <v>20</v>
      </c>
      <c r="AE16" s="50">
        <f t="shared" si="17"/>
        <v>140</v>
      </c>
      <c r="AF16" s="50">
        <f t="shared" si="18"/>
        <v>20</v>
      </c>
      <c r="AG16" s="51" t="str">
        <f t="shared" si="19"/>
        <v>15 VEHICLESUN125</v>
      </c>
      <c r="AH16" s="41"/>
      <c r="AI16" s="51" t="s">
        <v>83</v>
      </c>
      <c r="AJ16" s="51" t="s">
        <v>84</v>
      </c>
    </row>
    <row r="17" spans="1:36" ht="15.95" customHeight="1">
      <c r="A17" s="41" t="s">
        <v>79</v>
      </c>
      <c r="B17" s="42" t="s">
        <v>49</v>
      </c>
      <c r="C17" s="43" t="s">
        <v>80</v>
      </c>
      <c r="D17" s="52" t="s">
        <v>85</v>
      </c>
      <c r="E17" s="42" t="s">
        <v>52</v>
      </c>
      <c r="F17" s="42" t="s">
        <v>63</v>
      </c>
      <c r="G17" s="42" t="s">
        <v>82</v>
      </c>
      <c r="H17" s="41">
        <v>2026</v>
      </c>
      <c r="I17" s="45">
        <v>46054</v>
      </c>
      <c r="J17" s="45"/>
      <c r="K17" s="46">
        <v>2</v>
      </c>
      <c r="L17" s="47">
        <v>200</v>
      </c>
      <c r="M17" s="48">
        <f>+IF(E17="",0,VLOOKUP(E17,[1]Code!J:K,2,0))</f>
        <v>10</v>
      </c>
      <c r="N17" s="49">
        <f t="shared" si="0"/>
        <v>0.1</v>
      </c>
      <c r="O17" s="50">
        <f t="shared" si="1"/>
        <v>0</v>
      </c>
      <c r="P17" s="50">
        <f t="shared" si="2"/>
        <v>0</v>
      </c>
      <c r="Q17" s="50">
        <f t="shared" si="3"/>
        <v>0</v>
      </c>
      <c r="R17" s="50">
        <f t="shared" si="4"/>
        <v>0</v>
      </c>
      <c r="S17" s="50">
        <f t="shared" si="5"/>
        <v>0</v>
      </c>
      <c r="T17" s="50">
        <f t="shared" si="6"/>
        <v>0</v>
      </c>
      <c r="U17" s="50">
        <f t="shared" si="7"/>
        <v>0</v>
      </c>
      <c r="V17" s="50">
        <f t="shared" si="8"/>
        <v>0</v>
      </c>
      <c r="W17" s="50">
        <f t="shared" si="9"/>
        <v>0</v>
      </c>
      <c r="X17" s="50">
        <f t="shared" si="10"/>
        <v>0</v>
      </c>
      <c r="Y17" s="50">
        <f t="shared" si="11"/>
        <v>200</v>
      </c>
      <c r="Z17" s="50">
        <f t="shared" si="12"/>
        <v>20</v>
      </c>
      <c r="AA17" s="50">
        <f t="shared" si="13"/>
        <v>180</v>
      </c>
      <c r="AB17" s="50">
        <f t="shared" si="14"/>
        <v>20</v>
      </c>
      <c r="AC17" s="50">
        <f t="shared" si="15"/>
        <v>160</v>
      </c>
      <c r="AD17" s="50">
        <f t="shared" si="16"/>
        <v>20</v>
      </c>
      <c r="AE17" s="50">
        <f t="shared" si="17"/>
        <v>140</v>
      </c>
      <c r="AF17" s="50">
        <f t="shared" si="18"/>
        <v>20</v>
      </c>
      <c r="AG17" s="51" t="str">
        <f t="shared" si="19"/>
        <v>15 VEHICLESUB125</v>
      </c>
      <c r="AH17" s="41"/>
      <c r="AI17" s="51" t="s">
        <v>83</v>
      </c>
      <c r="AJ17" s="51" t="s">
        <v>84</v>
      </c>
    </row>
    <row r="18" spans="1:36" ht="15.95" customHeight="1">
      <c r="A18" s="41" t="s">
        <v>79</v>
      </c>
      <c r="B18" s="42" t="s">
        <v>49</v>
      </c>
      <c r="C18" s="43" t="s">
        <v>80</v>
      </c>
      <c r="D18" s="52" t="s">
        <v>86</v>
      </c>
      <c r="E18" s="42" t="s">
        <v>52</v>
      </c>
      <c r="F18" s="42" t="s">
        <v>66</v>
      </c>
      <c r="G18" s="42" t="s">
        <v>82</v>
      </c>
      <c r="H18" s="41">
        <v>2026</v>
      </c>
      <c r="I18" s="45">
        <v>46357</v>
      </c>
      <c r="J18" s="45"/>
      <c r="K18" s="46">
        <v>2</v>
      </c>
      <c r="L18" s="47">
        <v>200</v>
      </c>
      <c r="M18" s="48">
        <f>+IF(E18="",0,VLOOKUP(E18,[1]Code!J:K,2,0))</f>
        <v>10</v>
      </c>
      <c r="N18" s="49">
        <f t="shared" si="0"/>
        <v>0.1</v>
      </c>
      <c r="O18" s="50">
        <f t="shared" si="1"/>
        <v>0</v>
      </c>
      <c r="P18" s="50">
        <f t="shared" si="2"/>
        <v>0</v>
      </c>
      <c r="Q18" s="50">
        <f t="shared" si="3"/>
        <v>0</v>
      </c>
      <c r="R18" s="50">
        <f t="shared" si="4"/>
        <v>0</v>
      </c>
      <c r="S18" s="50">
        <f t="shared" si="5"/>
        <v>0</v>
      </c>
      <c r="T18" s="50">
        <f t="shared" si="6"/>
        <v>0</v>
      </c>
      <c r="U18" s="50">
        <f t="shared" si="7"/>
        <v>0</v>
      </c>
      <c r="V18" s="50">
        <f t="shared" si="8"/>
        <v>0</v>
      </c>
      <c r="W18" s="50">
        <f t="shared" si="9"/>
        <v>0</v>
      </c>
      <c r="X18" s="50">
        <f t="shared" si="10"/>
        <v>0</v>
      </c>
      <c r="Y18" s="50">
        <f t="shared" si="11"/>
        <v>200</v>
      </c>
      <c r="Z18" s="50">
        <f t="shared" si="12"/>
        <v>20</v>
      </c>
      <c r="AA18" s="50">
        <f t="shared" si="13"/>
        <v>180</v>
      </c>
      <c r="AB18" s="50">
        <f t="shared" si="14"/>
        <v>20</v>
      </c>
      <c r="AC18" s="50">
        <f t="shared" si="15"/>
        <v>160</v>
      </c>
      <c r="AD18" s="50">
        <f t="shared" si="16"/>
        <v>20</v>
      </c>
      <c r="AE18" s="50">
        <f t="shared" si="17"/>
        <v>140</v>
      </c>
      <c r="AF18" s="50">
        <f t="shared" si="18"/>
        <v>20</v>
      </c>
      <c r="AG18" s="51" t="str">
        <f t="shared" si="19"/>
        <v>15 VEHICLESOther scoter</v>
      </c>
      <c r="AH18" s="41"/>
      <c r="AI18" s="51" t="s">
        <v>83</v>
      </c>
      <c r="AJ18" s="51" t="s">
        <v>84</v>
      </c>
    </row>
    <row r="19" spans="1:36" ht="15.95" customHeight="1">
      <c r="A19" s="41" t="s">
        <v>87</v>
      </c>
      <c r="B19" s="42" t="s">
        <v>49</v>
      </c>
      <c r="C19" s="43" t="s">
        <v>88</v>
      </c>
      <c r="D19" s="44" t="s">
        <v>89</v>
      </c>
      <c r="E19" s="42" t="s">
        <v>90</v>
      </c>
      <c r="F19" s="42" t="s">
        <v>72</v>
      </c>
      <c r="G19" s="42" t="s">
        <v>91</v>
      </c>
      <c r="H19" s="41">
        <v>2026</v>
      </c>
      <c r="I19" s="45">
        <v>46326</v>
      </c>
      <c r="J19" s="45"/>
      <c r="K19" s="46">
        <v>44</v>
      </c>
      <c r="L19" s="47">
        <v>279</v>
      </c>
      <c r="M19" s="48">
        <f>+IF(E19="",0,VLOOKUP(E19,[1]Code!J:K,2,0))</f>
        <v>10</v>
      </c>
      <c r="N19" s="49">
        <f t="shared" si="0"/>
        <v>0.1</v>
      </c>
      <c r="O19" s="50">
        <f t="shared" si="1"/>
        <v>0</v>
      </c>
      <c r="P19" s="50">
        <f t="shared" si="2"/>
        <v>0</v>
      </c>
      <c r="Q19" s="50">
        <f t="shared" si="3"/>
        <v>0</v>
      </c>
      <c r="R19" s="50">
        <f t="shared" si="4"/>
        <v>0</v>
      </c>
      <c r="S19" s="50">
        <f t="shared" si="5"/>
        <v>0</v>
      </c>
      <c r="T19" s="50">
        <f t="shared" si="6"/>
        <v>0</v>
      </c>
      <c r="U19" s="50">
        <f t="shared" si="7"/>
        <v>0</v>
      </c>
      <c r="V19" s="50">
        <f t="shared" si="8"/>
        <v>0</v>
      </c>
      <c r="W19" s="50">
        <f t="shared" si="9"/>
        <v>0</v>
      </c>
      <c r="X19" s="50">
        <f t="shared" si="10"/>
        <v>0</v>
      </c>
      <c r="Y19" s="50">
        <f t="shared" si="11"/>
        <v>279</v>
      </c>
      <c r="Z19" s="50">
        <f t="shared" si="12"/>
        <v>27.9</v>
      </c>
      <c r="AA19" s="50">
        <f t="shared" si="13"/>
        <v>251.1</v>
      </c>
      <c r="AB19" s="50">
        <f t="shared" si="14"/>
        <v>27.9</v>
      </c>
      <c r="AC19" s="50">
        <f t="shared" si="15"/>
        <v>223.2</v>
      </c>
      <c r="AD19" s="50">
        <f t="shared" si="16"/>
        <v>27.9</v>
      </c>
      <c r="AE19" s="50">
        <f t="shared" si="17"/>
        <v>195.29999999999998</v>
      </c>
      <c r="AF19" s="50">
        <f t="shared" si="18"/>
        <v>27.9</v>
      </c>
      <c r="AG19" s="51" t="str">
        <f t="shared" si="19"/>
        <v xml:space="preserve">12 FURNITURE &amp; FIXTUREALL </v>
      </c>
      <c r="AH19" s="41"/>
      <c r="AI19" s="51" t="s">
        <v>92</v>
      </c>
      <c r="AJ19" s="51" t="s">
        <v>93</v>
      </c>
    </row>
    <row r="20" spans="1:36" ht="15.95" customHeight="1">
      <c r="A20" s="41" t="s">
        <v>94</v>
      </c>
      <c r="B20" s="42" t="s">
        <v>95</v>
      </c>
      <c r="C20" s="43" t="s">
        <v>88</v>
      </c>
      <c r="D20" s="44" t="s">
        <v>96</v>
      </c>
      <c r="E20" s="42" t="s">
        <v>97</v>
      </c>
      <c r="F20" s="42" t="s">
        <v>98</v>
      </c>
      <c r="G20" s="42" t="s">
        <v>91</v>
      </c>
      <c r="H20" s="41">
        <v>2026</v>
      </c>
      <c r="I20" s="45">
        <v>46326</v>
      </c>
      <c r="J20" s="45"/>
      <c r="K20" s="46">
        <v>33</v>
      </c>
      <c r="L20" s="47">
        <v>542</v>
      </c>
      <c r="M20" s="48">
        <f>+IF(E20="",0,VLOOKUP(E20,[1]Code!J:K,2,0))</f>
        <v>5</v>
      </c>
      <c r="N20" s="49">
        <f t="shared" si="0"/>
        <v>0.2</v>
      </c>
      <c r="O20" s="50">
        <f t="shared" si="1"/>
        <v>0</v>
      </c>
      <c r="P20" s="50">
        <f t="shared" si="2"/>
        <v>0</v>
      </c>
      <c r="Q20" s="50">
        <f t="shared" si="3"/>
        <v>0</v>
      </c>
      <c r="R20" s="50">
        <f t="shared" si="4"/>
        <v>0</v>
      </c>
      <c r="S20" s="50">
        <f t="shared" si="5"/>
        <v>0</v>
      </c>
      <c r="T20" s="50">
        <f t="shared" si="6"/>
        <v>0</v>
      </c>
      <c r="U20" s="50">
        <f t="shared" si="7"/>
        <v>0</v>
      </c>
      <c r="V20" s="50">
        <f t="shared" si="8"/>
        <v>0</v>
      </c>
      <c r="W20" s="50">
        <f t="shared" si="9"/>
        <v>0</v>
      </c>
      <c r="X20" s="50">
        <f t="shared" si="10"/>
        <v>0</v>
      </c>
      <c r="Y20" s="50">
        <f t="shared" si="11"/>
        <v>542</v>
      </c>
      <c r="Z20" s="50">
        <f t="shared" si="12"/>
        <v>108.4</v>
      </c>
      <c r="AA20" s="50">
        <f t="shared" si="13"/>
        <v>433.6</v>
      </c>
      <c r="AB20" s="50">
        <f t="shared" si="14"/>
        <v>108.4</v>
      </c>
      <c r="AC20" s="50">
        <f t="shared" si="15"/>
        <v>325.20000000000005</v>
      </c>
      <c r="AD20" s="50">
        <f t="shared" si="16"/>
        <v>108.4</v>
      </c>
      <c r="AE20" s="50">
        <f t="shared" si="17"/>
        <v>216.80000000000004</v>
      </c>
      <c r="AF20" s="50">
        <f t="shared" si="18"/>
        <v>108.4</v>
      </c>
      <c r="AG20" s="51" t="str">
        <f t="shared" si="19"/>
        <v>14 OFFICE EQUIPMENTSALL</v>
      </c>
      <c r="AH20" s="41"/>
      <c r="AI20" s="51" t="s">
        <v>92</v>
      </c>
      <c r="AJ20" s="51" t="s">
        <v>93</v>
      </c>
    </row>
    <row r="21" spans="1:36" ht="15.95" customHeight="1">
      <c r="A21" s="41" t="s">
        <v>99</v>
      </c>
      <c r="B21" s="42" t="s">
        <v>49</v>
      </c>
      <c r="C21" s="43" t="s">
        <v>88</v>
      </c>
      <c r="D21" s="52" t="s">
        <v>100</v>
      </c>
      <c r="E21" s="42" t="s">
        <v>52</v>
      </c>
      <c r="F21" s="42" t="s">
        <v>72</v>
      </c>
      <c r="G21" s="42" t="s">
        <v>91</v>
      </c>
      <c r="H21" s="41">
        <v>2026</v>
      </c>
      <c r="I21" s="45">
        <v>46326</v>
      </c>
      <c r="J21" s="45"/>
      <c r="K21" s="46">
        <v>10</v>
      </c>
      <c r="L21" s="47">
        <v>1120</v>
      </c>
      <c r="M21" s="48">
        <f>+IF(E21="",0,VLOOKUP(E21,[1]Code!J:K,2,0))</f>
        <v>10</v>
      </c>
      <c r="N21" s="49">
        <f t="shared" si="0"/>
        <v>0.1</v>
      </c>
      <c r="O21" s="50">
        <f t="shared" si="1"/>
        <v>0</v>
      </c>
      <c r="P21" s="50">
        <f t="shared" si="2"/>
        <v>0</v>
      </c>
      <c r="Q21" s="50">
        <f t="shared" si="3"/>
        <v>0</v>
      </c>
      <c r="R21" s="50">
        <f t="shared" si="4"/>
        <v>0</v>
      </c>
      <c r="S21" s="50">
        <f t="shared" si="5"/>
        <v>0</v>
      </c>
      <c r="T21" s="50">
        <f t="shared" si="6"/>
        <v>0</v>
      </c>
      <c r="U21" s="50">
        <f t="shared" si="7"/>
        <v>0</v>
      </c>
      <c r="V21" s="50">
        <f t="shared" si="8"/>
        <v>0</v>
      </c>
      <c r="W21" s="50">
        <f t="shared" si="9"/>
        <v>0</v>
      </c>
      <c r="X21" s="50">
        <f t="shared" si="10"/>
        <v>0</v>
      </c>
      <c r="Y21" s="50">
        <f t="shared" si="11"/>
        <v>1120</v>
      </c>
      <c r="Z21" s="50">
        <f t="shared" si="12"/>
        <v>112</v>
      </c>
      <c r="AA21" s="50">
        <f t="shared" si="13"/>
        <v>1008</v>
      </c>
      <c r="AB21" s="50">
        <f t="shared" si="14"/>
        <v>112</v>
      </c>
      <c r="AC21" s="50">
        <f t="shared" si="15"/>
        <v>896</v>
      </c>
      <c r="AD21" s="50">
        <f t="shared" si="16"/>
        <v>112</v>
      </c>
      <c r="AE21" s="50">
        <f t="shared" si="17"/>
        <v>784</v>
      </c>
      <c r="AF21" s="50">
        <f t="shared" si="18"/>
        <v>112</v>
      </c>
      <c r="AG21" s="51" t="str">
        <f t="shared" si="19"/>
        <v xml:space="preserve">15 VEHICLESALL </v>
      </c>
      <c r="AH21" s="41"/>
      <c r="AI21" s="51" t="s">
        <v>92</v>
      </c>
      <c r="AJ21" s="51" t="s">
        <v>93</v>
      </c>
    </row>
    <row r="22" spans="1:36" ht="15.95" customHeight="1">
      <c r="A22" s="41" t="s">
        <v>101</v>
      </c>
      <c r="B22" s="42" t="s">
        <v>49</v>
      </c>
      <c r="C22" s="43" t="s">
        <v>88</v>
      </c>
      <c r="D22" s="44" t="s">
        <v>102</v>
      </c>
      <c r="E22" s="42" t="s">
        <v>103</v>
      </c>
      <c r="F22" s="42" t="s">
        <v>72</v>
      </c>
      <c r="G22" s="42" t="s">
        <v>91</v>
      </c>
      <c r="H22" s="41">
        <v>2026</v>
      </c>
      <c r="I22" s="45">
        <v>46326</v>
      </c>
      <c r="J22" s="45"/>
      <c r="K22" s="46">
        <v>2</v>
      </c>
      <c r="L22" s="47">
        <v>411</v>
      </c>
      <c r="M22" s="48">
        <f>+IF(E22="",0,VLOOKUP(E22,[1]Code!J:K,2,0))</f>
        <v>5</v>
      </c>
      <c r="N22" s="49">
        <f t="shared" si="0"/>
        <v>0.2</v>
      </c>
      <c r="O22" s="50">
        <f t="shared" si="1"/>
        <v>0</v>
      </c>
      <c r="P22" s="50">
        <f t="shared" si="2"/>
        <v>0</v>
      </c>
      <c r="Q22" s="50">
        <f t="shared" si="3"/>
        <v>0</v>
      </c>
      <c r="R22" s="50">
        <f t="shared" si="4"/>
        <v>0</v>
      </c>
      <c r="S22" s="50">
        <f t="shared" si="5"/>
        <v>0</v>
      </c>
      <c r="T22" s="50">
        <f t="shared" si="6"/>
        <v>0</v>
      </c>
      <c r="U22" s="50">
        <f t="shared" si="7"/>
        <v>0</v>
      </c>
      <c r="V22" s="50">
        <f t="shared" si="8"/>
        <v>0</v>
      </c>
      <c r="W22" s="50">
        <f t="shared" si="9"/>
        <v>0</v>
      </c>
      <c r="X22" s="50">
        <f t="shared" si="10"/>
        <v>0</v>
      </c>
      <c r="Y22" s="50">
        <f t="shared" si="11"/>
        <v>411</v>
      </c>
      <c r="Z22" s="50">
        <f t="shared" si="12"/>
        <v>82.2</v>
      </c>
      <c r="AA22" s="50">
        <f t="shared" si="13"/>
        <v>328.8</v>
      </c>
      <c r="AB22" s="50">
        <f t="shared" si="14"/>
        <v>82.2</v>
      </c>
      <c r="AC22" s="50">
        <f t="shared" si="15"/>
        <v>246.60000000000002</v>
      </c>
      <c r="AD22" s="50">
        <f t="shared" si="16"/>
        <v>82.2</v>
      </c>
      <c r="AE22" s="50">
        <f t="shared" si="17"/>
        <v>164.40000000000003</v>
      </c>
      <c r="AF22" s="50">
        <f t="shared" si="18"/>
        <v>82.2</v>
      </c>
      <c r="AG22" s="51" t="str">
        <f t="shared" si="19"/>
        <v xml:space="preserve">9 TOOLSALL </v>
      </c>
      <c r="AH22" s="41"/>
      <c r="AI22" s="51" t="s">
        <v>92</v>
      </c>
      <c r="AJ22" s="51" t="s">
        <v>93</v>
      </c>
    </row>
    <row r="23" spans="1:36" ht="15.95" customHeight="1">
      <c r="A23" s="41" t="s">
        <v>104</v>
      </c>
      <c r="B23" s="42" t="s">
        <v>49</v>
      </c>
      <c r="C23" s="43" t="s">
        <v>88</v>
      </c>
      <c r="D23" s="52" t="s">
        <v>105</v>
      </c>
      <c r="E23" s="42" t="s">
        <v>103</v>
      </c>
      <c r="F23" s="42" t="s">
        <v>72</v>
      </c>
      <c r="G23" s="42" t="s">
        <v>91</v>
      </c>
      <c r="H23" s="41">
        <v>2026</v>
      </c>
      <c r="I23" s="45">
        <v>46326</v>
      </c>
      <c r="J23" s="45"/>
      <c r="K23" s="46">
        <v>47</v>
      </c>
      <c r="L23" s="47">
        <v>782.39</v>
      </c>
      <c r="M23" s="48">
        <f>+IF(E23="",0,VLOOKUP(E23,[1]Code!J:K,2,0))</f>
        <v>5</v>
      </c>
      <c r="N23" s="49">
        <f t="shared" si="0"/>
        <v>0.2</v>
      </c>
      <c r="O23" s="50">
        <f t="shared" si="1"/>
        <v>0</v>
      </c>
      <c r="P23" s="50">
        <f t="shared" si="2"/>
        <v>0</v>
      </c>
      <c r="Q23" s="50">
        <f t="shared" si="3"/>
        <v>0</v>
      </c>
      <c r="R23" s="50">
        <f t="shared" si="4"/>
        <v>0</v>
      </c>
      <c r="S23" s="50">
        <f t="shared" si="5"/>
        <v>0</v>
      </c>
      <c r="T23" s="50">
        <f t="shared" si="6"/>
        <v>0</v>
      </c>
      <c r="U23" s="50">
        <f t="shared" si="7"/>
        <v>0</v>
      </c>
      <c r="V23" s="50">
        <f t="shared" si="8"/>
        <v>0</v>
      </c>
      <c r="W23" s="50">
        <f t="shared" si="9"/>
        <v>0</v>
      </c>
      <c r="X23" s="50">
        <f t="shared" si="10"/>
        <v>0</v>
      </c>
      <c r="Y23" s="50">
        <f t="shared" si="11"/>
        <v>782.39</v>
      </c>
      <c r="Z23" s="50">
        <f t="shared" si="12"/>
        <v>156.47800000000001</v>
      </c>
      <c r="AA23" s="50">
        <f t="shared" si="13"/>
        <v>625.91200000000003</v>
      </c>
      <c r="AB23" s="50">
        <f t="shared" si="14"/>
        <v>156.47800000000001</v>
      </c>
      <c r="AC23" s="50">
        <f t="shared" si="15"/>
        <v>469.43400000000003</v>
      </c>
      <c r="AD23" s="50">
        <f t="shared" si="16"/>
        <v>156.47800000000001</v>
      </c>
      <c r="AE23" s="50">
        <f t="shared" si="17"/>
        <v>312.95600000000002</v>
      </c>
      <c r="AF23" s="50">
        <f t="shared" si="18"/>
        <v>156.47800000000001</v>
      </c>
      <c r="AG23" s="51" t="str">
        <f t="shared" si="19"/>
        <v xml:space="preserve">9 TOOLSALL </v>
      </c>
      <c r="AH23" s="41"/>
      <c r="AI23" s="51" t="s">
        <v>92</v>
      </c>
      <c r="AJ23" s="51" t="s">
        <v>93</v>
      </c>
    </row>
    <row r="24" spans="1:36" ht="15.95" customHeight="1">
      <c r="A24" s="41" t="s">
        <v>106</v>
      </c>
      <c r="B24" s="42" t="s">
        <v>49</v>
      </c>
      <c r="C24" s="43" t="s">
        <v>107</v>
      </c>
      <c r="D24" s="44" t="s">
        <v>89</v>
      </c>
      <c r="E24" s="42" t="s">
        <v>90</v>
      </c>
      <c r="F24" s="42" t="s">
        <v>72</v>
      </c>
      <c r="G24" s="42" t="s">
        <v>91</v>
      </c>
      <c r="H24" s="41">
        <v>2026</v>
      </c>
      <c r="I24" s="45">
        <v>46356</v>
      </c>
      <c r="J24" s="45"/>
      <c r="K24" s="46">
        <v>26</v>
      </c>
      <c r="L24" s="47">
        <v>152</v>
      </c>
      <c r="M24" s="48">
        <f>+IF(E24="",0,VLOOKUP(E24,[1]Code!J:K,2,0))</f>
        <v>10</v>
      </c>
      <c r="N24" s="49">
        <f t="shared" si="0"/>
        <v>0.1</v>
      </c>
      <c r="O24" s="50">
        <f t="shared" si="1"/>
        <v>0</v>
      </c>
      <c r="P24" s="50">
        <f t="shared" si="2"/>
        <v>0</v>
      </c>
      <c r="Q24" s="50">
        <f t="shared" si="3"/>
        <v>0</v>
      </c>
      <c r="R24" s="50">
        <f t="shared" si="4"/>
        <v>0</v>
      </c>
      <c r="S24" s="50">
        <f t="shared" si="5"/>
        <v>0</v>
      </c>
      <c r="T24" s="50">
        <f t="shared" si="6"/>
        <v>0</v>
      </c>
      <c r="U24" s="50">
        <f t="shared" si="7"/>
        <v>0</v>
      </c>
      <c r="V24" s="50">
        <f t="shared" si="8"/>
        <v>0</v>
      </c>
      <c r="W24" s="50">
        <f t="shared" si="9"/>
        <v>0</v>
      </c>
      <c r="X24" s="50">
        <f t="shared" si="10"/>
        <v>0</v>
      </c>
      <c r="Y24" s="50">
        <f t="shared" si="11"/>
        <v>152</v>
      </c>
      <c r="Z24" s="50">
        <f t="shared" si="12"/>
        <v>15.2</v>
      </c>
      <c r="AA24" s="50">
        <f t="shared" si="13"/>
        <v>136.80000000000001</v>
      </c>
      <c r="AB24" s="50">
        <f t="shared" si="14"/>
        <v>15.2</v>
      </c>
      <c r="AC24" s="50">
        <f t="shared" si="15"/>
        <v>121.60000000000001</v>
      </c>
      <c r="AD24" s="50">
        <f t="shared" si="16"/>
        <v>15.2</v>
      </c>
      <c r="AE24" s="50">
        <f t="shared" si="17"/>
        <v>106.4</v>
      </c>
      <c r="AF24" s="50">
        <f t="shared" si="18"/>
        <v>15.2</v>
      </c>
      <c r="AG24" s="51" t="str">
        <f t="shared" si="19"/>
        <v xml:space="preserve">12 FURNITURE &amp; FIXTUREALL </v>
      </c>
      <c r="AH24" s="41"/>
      <c r="AI24" s="51" t="s">
        <v>92</v>
      </c>
      <c r="AJ24" s="51" t="s">
        <v>93</v>
      </c>
    </row>
    <row r="25" spans="1:36" ht="15.95" customHeight="1">
      <c r="A25" s="41" t="s">
        <v>108</v>
      </c>
      <c r="B25" s="42" t="s">
        <v>95</v>
      </c>
      <c r="C25" s="43" t="s">
        <v>107</v>
      </c>
      <c r="D25" s="44" t="s">
        <v>96</v>
      </c>
      <c r="E25" s="42" t="s">
        <v>97</v>
      </c>
      <c r="F25" s="42" t="s">
        <v>72</v>
      </c>
      <c r="G25" s="42" t="s">
        <v>91</v>
      </c>
      <c r="H25" s="41">
        <v>2026</v>
      </c>
      <c r="I25" s="45">
        <v>46356</v>
      </c>
      <c r="J25" s="45"/>
      <c r="K25" s="46">
        <v>12</v>
      </c>
      <c r="L25" s="47">
        <v>283</v>
      </c>
      <c r="M25" s="48">
        <f>+IF(E25="",0,VLOOKUP(E25,[1]Code!J:K,2,0))</f>
        <v>5</v>
      </c>
      <c r="N25" s="49">
        <f t="shared" si="0"/>
        <v>0.2</v>
      </c>
      <c r="O25" s="50">
        <f t="shared" si="1"/>
        <v>0</v>
      </c>
      <c r="P25" s="50">
        <f t="shared" si="2"/>
        <v>0</v>
      </c>
      <c r="Q25" s="50">
        <f t="shared" si="3"/>
        <v>0</v>
      </c>
      <c r="R25" s="50">
        <f t="shared" si="4"/>
        <v>0</v>
      </c>
      <c r="S25" s="50">
        <f t="shared" si="5"/>
        <v>0</v>
      </c>
      <c r="T25" s="50">
        <f t="shared" si="6"/>
        <v>0</v>
      </c>
      <c r="U25" s="50">
        <f t="shared" si="7"/>
        <v>0</v>
      </c>
      <c r="V25" s="50">
        <f t="shared" si="8"/>
        <v>0</v>
      </c>
      <c r="W25" s="50">
        <f t="shared" si="9"/>
        <v>0</v>
      </c>
      <c r="X25" s="50">
        <f t="shared" si="10"/>
        <v>0</v>
      </c>
      <c r="Y25" s="50">
        <f t="shared" si="11"/>
        <v>283</v>
      </c>
      <c r="Z25" s="50">
        <f t="shared" si="12"/>
        <v>56.6</v>
      </c>
      <c r="AA25" s="50">
        <f t="shared" si="13"/>
        <v>226.4</v>
      </c>
      <c r="AB25" s="50">
        <f t="shared" si="14"/>
        <v>56.6</v>
      </c>
      <c r="AC25" s="50">
        <f t="shared" si="15"/>
        <v>169.8</v>
      </c>
      <c r="AD25" s="50">
        <f t="shared" si="16"/>
        <v>56.6</v>
      </c>
      <c r="AE25" s="50">
        <f t="shared" si="17"/>
        <v>113.20000000000002</v>
      </c>
      <c r="AF25" s="50">
        <f t="shared" si="18"/>
        <v>56.6</v>
      </c>
      <c r="AG25" s="51" t="str">
        <f t="shared" si="19"/>
        <v xml:space="preserve">14 OFFICE EQUIPMENTSALL </v>
      </c>
      <c r="AH25" s="41"/>
      <c r="AI25" s="51" t="s">
        <v>92</v>
      </c>
      <c r="AJ25" s="51" t="s">
        <v>93</v>
      </c>
    </row>
    <row r="26" spans="1:36" ht="15.95" customHeight="1">
      <c r="A26" s="41" t="s">
        <v>109</v>
      </c>
      <c r="B26" s="42" t="s">
        <v>49</v>
      </c>
      <c r="C26" s="43" t="s">
        <v>107</v>
      </c>
      <c r="D26" s="52" t="s">
        <v>105</v>
      </c>
      <c r="E26" s="42" t="s">
        <v>103</v>
      </c>
      <c r="F26" s="42" t="s">
        <v>72</v>
      </c>
      <c r="G26" s="42" t="s">
        <v>91</v>
      </c>
      <c r="H26" s="41">
        <v>2026</v>
      </c>
      <c r="I26" s="45">
        <v>46356</v>
      </c>
      <c r="J26" s="45"/>
      <c r="K26" s="46">
        <v>24</v>
      </c>
      <c r="L26" s="47">
        <v>382</v>
      </c>
      <c r="M26" s="48">
        <f>+IF(E26="",0,VLOOKUP(E26,[1]Code!J:K,2,0))</f>
        <v>5</v>
      </c>
      <c r="N26" s="49">
        <f t="shared" si="0"/>
        <v>0.2</v>
      </c>
      <c r="O26" s="50">
        <f t="shared" si="1"/>
        <v>0</v>
      </c>
      <c r="P26" s="50">
        <f t="shared" si="2"/>
        <v>0</v>
      </c>
      <c r="Q26" s="50">
        <f t="shared" si="3"/>
        <v>0</v>
      </c>
      <c r="R26" s="50">
        <f t="shared" si="4"/>
        <v>0</v>
      </c>
      <c r="S26" s="50">
        <f t="shared" si="5"/>
        <v>0</v>
      </c>
      <c r="T26" s="50">
        <f t="shared" si="6"/>
        <v>0</v>
      </c>
      <c r="U26" s="50">
        <f t="shared" si="7"/>
        <v>0</v>
      </c>
      <c r="V26" s="50">
        <f t="shared" si="8"/>
        <v>0</v>
      </c>
      <c r="W26" s="50">
        <f t="shared" si="9"/>
        <v>0</v>
      </c>
      <c r="X26" s="50">
        <f t="shared" si="10"/>
        <v>0</v>
      </c>
      <c r="Y26" s="50">
        <f t="shared" si="11"/>
        <v>382</v>
      </c>
      <c r="Z26" s="50">
        <f t="shared" si="12"/>
        <v>76.400000000000006</v>
      </c>
      <c r="AA26" s="50">
        <f t="shared" si="13"/>
        <v>305.60000000000002</v>
      </c>
      <c r="AB26" s="50">
        <f t="shared" si="14"/>
        <v>76.400000000000006</v>
      </c>
      <c r="AC26" s="50">
        <f t="shared" si="15"/>
        <v>229.20000000000002</v>
      </c>
      <c r="AD26" s="50">
        <f t="shared" si="16"/>
        <v>76.400000000000006</v>
      </c>
      <c r="AE26" s="50">
        <f t="shared" si="17"/>
        <v>152.80000000000001</v>
      </c>
      <c r="AF26" s="50">
        <f t="shared" si="18"/>
        <v>76.400000000000006</v>
      </c>
      <c r="AG26" s="51" t="str">
        <f t="shared" si="19"/>
        <v xml:space="preserve">9 TOOLSALL </v>
      </c>
      <c r="AH26" s="41"/>
      <c r="AI26" s="51" t="s">
        <v>92</v>
      </c>
      <c r="AJ26" s="51" t="s">
        <v>93</v>
      </c>
    </row>
    <row r="27" spans="1:36" ht="15.95" customHeight="1">
      <c r="A27" s="41" t="s">
        <v>110</v>
      </c>
      <c r="B27" s="42" t="s">
        <v>49</v>
      </c>
      <c r="C27" s="43" t="s">
        <v>111</v>
      </c>
      <c r="D27" s="44" t="s">
        <v>112</v>
      </c>
      <c r="E27" s="42" t="s">
        <v>103</v>
      </c>
      <c r="F27" s="42" t="s">
        <v>72</v>
      </c>
      <c r="G27" s="42" t="s">
        <v>91</v>
      </c>
      <c r="H27" s="41">
        <v>2026</v>
      </c>
      <c r="I27" s="45">
        <v>46387</v>
      </c>
      <c r="J27" s="45"/>
      <c r="K27" s="46"/>
      <c r="L27" s="47">
        <v>100</v>
      </c>
      <c r="M27" s="48">
        <f>+IF(E27="",0,VLOOKUP(E27,[1]Code!J:K,2,0))</f>
        <v>5</v>
      </c>
      <c r="N27" s="49">
        <f t="shared" si="0"/>
        <v>0.2</v>
      </c>
      <c r="O27" s="50">
        <f t="shared" si="1"/>
        <v>0</v>
      </c>
      <c r="P27" s="50">
        <f t="shared" si="2"/>
        <v>0</v>
      </c>
      <c r="Q27" s="50">
        <f t="shared" si="3"/>
        <v>0</v>
      </c>
      <c r="R27" s="50">
        <f t="shared" si="4"/>
        <v>0</v>
      </c>
      <c r="S27" s="50">
        <f t="shared" si="5"/>
        <v>0</v>
      </c>
      <c r="T27" s="50">
        <f t="shared" si="6"/>
        <v>0</v>
      </c>
      <c r="U27" s="50">
        <f t="shared" si="7"/>
        <v>0</v>
      </c>
      <c r="V27" s="50">
        <f t="shared" si="8"/>
        <v>0</v>
      </c>
      <c r="W27" s="50">
        <f t="shared" si="9"/>
        <v>0</v>
      </c>
      <c r="X27" s="50">
        <f t="shared" si="10"/>
        <v>0</v>
      </c>
      <c r="Y27" s="50">
        <f t="shared" si="11"/>
        <v>100</v>
      </c>
      <c r="Z27" s="50">
        <f t="shared" si="12"/>
        <v>20</v>
      </c>
      <c r="AA27" s="50">
        <f t="shared" si="13"/>
        <v>80</v>
      </c>
      <c r="AB27" s="50">
        <f t="shared" si="14"/>
        <v>20</v>
      </c>
      <c r="AC27" s="50">
        <f t="shared" si="15"/>
        <v>60</v>
      </c>
      <c r="AD27" s="50">
        <f t="shared" si="16"/>
        <v>20</v>
      </c>
      <c r="AE27" s="50">
        <f t="shared" si="17"/>
        <v>40</v>
      </c>
      <c r="AF27" s="50">
        <f t="shared" si="18"/>
        <v>20</v>
      </c>
      <c r="AG27" s="51" t="str">
        <f t="shared" si="19"/>
        <v xml:space="preserve">9 TOOLSALL </v>
      </c>
      <c r="AH27" s="41"/>
      <c r="AI27" s="51" t="s">
        <v>92</v>
      </c>
      <c r="AJ27" s="51" t="s">
        <v>93</v>
      </c>
    </row>
    <row r="28" spans="1:36" ht="15.95" customHeight="1">
      <c r="A28" s="41" t="s">
        <v>113</v>
      </c>
      <c r="B28" s="42" t="s">
        <v>49</v>
      </c>
      <c r="C28" s="43" t="s">
        <v>114</v>
      </c>
      <c r="D28" s="52" t="s">
        <v>115</v>
      </c>
      <c r="E28" s="42" t="s">
        <v>90</v>
      </c>
      <c r="F28" s="42" t="s">
        <v>72</v>
      </c>
      <c r="G28" s="42" t="s">
        <v>91</v>
      </c>
      <c r="H28" s="41">
        <v>2026</v>
      </c>
      <c r="I28" s="45">
        <v>46265</v>
      </c>
      <c r="J28" s="45"/>
      <c r="K28" s="46">
        <v>4</v>
      </c>
      <c r="L28" s="47">
        <v>70</v>
      </c>
      <c r="M28" s="48">
        <f>+IF(E28="",0,VLOOKUP(E28,[1]Code!J:K,2,0))</f>
        <v>10</v>
      </c>
      <c r="N28" s="49">
        <f t="shared" si="0"/>
        <v>0.1</v>
      </c>
      <c r="O28" s="50">
        <f t="shared" si="1"/>
        <v>0</v>
      </c>
      <c r="P28" s="50">
        <f t="shared" si="2"/>
        <v>0</v>
      </c>
      <c r="Q28" s="50">
        <f t="shared" si="3"/>
        <v>0</v>
      </c>
      <c r="R28" s="50">
        <f t="shared" si="4"/>
        <v>0</v>
      </c>
      <c r="S28" s="50">
        <f t="shared" si="5"/>
        <v>0</v>
      </c>
      <c r="T28" s="50">
        <f t="shared" si="6"/>
        <v>0</v>
      </c>
      <c r="U28" s="50">
        <f t="shared" si="7"/>
        <v>0</v>
      </c>
      <c r="V28" s="50">
        <f t="shared" si="8"/>
        <v>0</v>
      </c>
      <c r="W28" s="50">
        <f t="shared" si="9"/>
        <v>0</v>
      </c>
      <c r="X28" s="50">
        <f t="shared" si="10"/>
        <v>0</v>
      </c>
      <c r="Y28" s="50">
        <f t="shared" si="11"/>
        <v>70</v>
      </c>
      <c r="Z28" s="50">
        <f t="shared" si="12"/>
        <v>7</v>
      </c>
      <c r="AA28" s="50">
        <f t="shared" si="13"/>
        <v>63</v>
      </c>
      <c r="AB28" s="50">
        <f t="shared" si="14"/>
        <v>7</v>
      </c>
      <c r="AC28" s="50">
        <f t="shared" si="15"/>
        <v>56</v>
      </c>
      <c r="AD28" s="50">
        <f t="shared" si="16"/>
        <v>7</v>
      </c>
      <c r="AE28" s="50">
        <f t="shared" si="17"/>
        <v>49</v>
      </c>
      <c r="AF28" s="50">
        <f t="shared" si="18"/>
        <v>7</v>
      </c>
      <c r="AG28" s="51" t="str">
        <f t="shared" si="19"/>
        <v xml:space="preserve">12 FURNITURE &amp; FIXTUREALL </v>
      </c>
      <c r="AH28" s="41"/>
      <c r="AI28" s="51" t="s">
        <v>92</v>
      </c>
      <c r="AJ28" s="51" t="s">
        <v>93</v>
      </c>
    </row>
    <row r="29" spans="1:36" ht="15.95" customHeight="1">
      <c r="A29" s="41" t="s">
        <v>116</v>
      </c>
      <c r="B29" s="42" t="s">
        <v>49</v>
      </c>
      <c r="C29" s="43" t="s">
        <v>117</v>
      </c>
      <c r="D29" s="52" t="s">
        <v>118</v>
      </c>
      <c r="E29" s="42" t="s">
        <v>119</v>
      </c>
      <c r="F29" s="42" t="s">
        <v>72</v>
      </c>
      <c r="G29" s="42" t="s">
        <v>120</v>
      </c>
      <c r="H29" s="41">
        <v>2026</v>
      </c>
      <c r="I29" s="45" t="s">
        <v>73</v>
      </c>
      <c r="J29" s="45"/>
      <c r="K29" s="54">
        <v>1</v>
      </c>
      <c r="L29" s="47">
        <v>1500</v>
      </c>
      <c r="M29" s="48">
        <f>+IF(E29="",0,VLOOKUP(E29,[1]Code!J:K,2,0))</f>
        <v>8</v>
      </c>
      <c r="N29" s="49">
        <f t="shared" si="0"/>
        <v>0.125</v>
      </c>
      <c r="O29" s="50">
        <f t="shared" si="1"/>
        <v>0</v>
      </c>
      <c r="P29" s="50">
        <f t="shared" si="2"/>
        <v>0</v>
      </c>
      <c r="Q29" s="50">
        <f t="shared" si="3"/>
        <v>0</v>
      </c>
      <c r="R29" s="50">
        <f t="shared" si="4"/>
        <v>0</v>
      </c>
      <c r="S29" s="50">
        <f t="shared" si="5"/>
        <v>0</v>
      </c>
      <c r="T29" s="50">
        <f t="shared" si="6"/>
        <v>0</v>
      </c>
      <c r="U29" s="50">
        <f t="shared" si="7"/>
        <v>0</v>
      </c>
      <c r="V29" s="50">
        <f t="shared" si="8"/>
        <v>0</v>
      </c>
      <c r="W29" s="50">
        <f t="shared" si="9"/>
        <v>0</v>
      </c>
      <c r="X29" s="50">
        <f t="shared" si="10"/>
        <v>0</v>
      </c>
      <c r="Y29" s="50">
        <f t="shared" si="11"/>
        <v>1500</v>
      </c>
      <c r="Z29" s="50">
        <f t="shared" si="12"/>
        <v>187.5</v>
      </c>
      <c r="AA29" s="50">
        <f t="shared" si="13"/>
        <v>1312.5</v>
      </c>
      <c r="AB29" s="50">
        <f t="shared" si="14"/>
        <v>187.5</v>
      </c>
      <c r="AC29" s="50">
        <f t="shared" si="15"/>
        <v>1125</v>
      </c>
      <c r="AD29" s="50">
        <f t="shared" si="16"/>
        <v>187.5</v>
      </c>
      <c r="AE29" s="50">
        <f t="shared" si="17"/>
        <v>937.5</v>
      </c>
      <c r="AF29" s="50">
        <f t="shared" si="18"/>
        <v>187.5</v>
      </c>
      <c r="AG29" s="51" t="str">
        <f t="shared" si="19"/>
        <v xml:space="preserve">5 MACHINERY,UTILITIESALL </v>
      </c>
      <c r="AH29" s="41"/>
      <c r="AI29" s="51" t="s">
        <v>121</v>
      </c>
      <c r="AJ29" s="51" t="s">
        <v>122</v>
      </c>
    </row>
    <row r="30" spans="1:36" ht="15.95" customHeight="1">
      <c r="A30" s="41" t="s">
        <v>123</v>
      </c>
      <c r="B30" s="42" t="s">
        <v>49</v>
      </c>
      <c r="C30" s="43" t="s">
        <v>124</v>
      </c>
      <c r="D30" s="52" t="s">
        <v>125</v>
      </c>
      <c r="E30" s="42" t="s">
        <v>119</v>
      </c>
      <c r="F30" s="42" t="s">
        <v>72</v>
      </c>
      <c r="G30" s="42" t="s">
        <v>120</v>
      </c>
      <c r="H30" s="41">
        <v>2026</v>
      </c>
      <c r="I30" s="45" t="s">
        <v>73</v>
      </c>
      <c r="J30" s="45"/>
      <c r="K30" s="54">
        <v>16</v>
      </c>
      <c r="L30" s="47">
        <v>336</v>
      </c>
      <c r="M30" s="48">
        <f>+IF(E30="",0,VLOOKUP(E30,[1]Code!J:K,2,0))</f>
        <v>8</v>
      </c>
      <c r="N30" s="49">
        <f t="shared" si="0"/>
        <v>0.125</v>
      </c>
      <c r="O30" s="50">
        <f t="shared" si="1"/>
        <v>0</v>
      </c>
      <c r="P30" s="50">
        <f t="shared" si="2"/>
        <v>0</v>
      </c>
      <c r="Q30" s="50">
        <f t="shared" si="3"/>
        <v>0</v>
      </c>
      <c r="R30" s="50">
        <f t="shared" si="4"/>
        <v>0</v>
      </c>
      <c r="S30" s="50">
        <f t="shared" si="5"/>
        <v>0</v>
      </c>
      <c r="T30" s="50">
        <f t="shared" si="6"/>
        <v>0</v>
      </c>
      <c r="U30" s="50">
        <f t="shared" si="7"/>
        <v>0</v>
      </c>
      <c r="V30" s="50">
        <f t="shared" si="8"/>
        <v>0</v>
      </c>
      <c r="W30" s="50">
        <f t="shared" si="9"/>
        <v>0</v>
      </c>
      <c r="X30" s="50">
        <f t="shared" si="10"/>
        <v>0</v>
      </c>
      <c r="Y30" s="50">
        <f t="shared" si="11"/>
        <v>336</v>
      </c>
      <c r="Z30" s="50">
        <f t="shared" si="12"/>
        <v>42</v>
      </c>
      <c r="AA30" s="50">
        <f t="shared" si="13"/>
        <v>294</v>
      </c>
      <c r="AB30" s="50">
        <f t="shared" si="14"/>
        <v>42</v>
      </c>
      <c r="AC30" s="50">
        <f t="shared" si="15"/>
        <v>252</v>
      </c>
      <c r="AD30" s="50">
        <f t="shared" si="16"/>
        <v>42</v>
      </c>
      <c r="AE30" s="50">
        <f t="shared" si="17"/>
        <v>210</v>
      </c>
      <c r="AF30" s="50">
        <f t="shared" si="18"/>
        <v>42</v>
      </c>
      <c r="AG30" s="51" t="str">
        <f t="shared" si="19"/>
        <v xml:space="preserve">5 MACHINERY,UTILITIESALL </v>
      </c>
      <c r="AH30" s="41"/>
      <c r="AI30" s="51" t="s">
        <v>121</v>
      </c>
      <c r="AJ30" s="51" t="s">
        <v>122</v>
      </c>
    </row>
    <row r="31" spans="1:36" ht="15.95" customHeight="1">
      <c r="A31" s="41" t="s">
        <v>126</v>
      </c>
      <c r="B31" s="42" t="s">
        <v>95</v>
      </c>
      <c r="C31" s="55" t="s">
        <v>127</v>
      </c>
      <c r="D31" s="52" t="s">
        <v>128</v>
      </c>
      <c r="E31" s="42" t="s">
        <v>119</v>
      </c>
      <c r="F31" s="42" t="s">
        <v>72</v>
      </c>
      <c r="G31" s="42" t="s">
        <v>120</v>
      </c>
      <c r="H31" s="41">
        <v>2026</v>
      </c>
      <c r="I31" s="45" t="s">
        <v>73</v>
      </c>
      <c r="J31" s="45"/>
      <c r="K31" s="54">
        <v>3</v>
      </c>
      <c r="L31" s="47">
        <v>135</v>
      </c>
      <c r="M31" s="48">
        <f>+IF(E31="",0,VLOOKUP(E31,[1]Code!J:K,2,0))</f>
        <v>8</v>
      </c>
      <c r="N31" s="49">
        <f t="shared" si="0"/>
        <v>0.125</v>
      </c>
      <c r="O31" s="50">
        <f t="shared" si="1"/>
        <v>0</v>
      </c>
      <c r="P31" s="50">
        <f t="shared" si="2"/>
        <v>0</v>
      </c>
      <c r="Q31" s="50">
        <f t="shared" si="3"/>
        <v>0</v>
      </c>
      <c r="R31" s="50">
        <f t="shared" si="4"/>
        <v>0</v>
      </c>
      <c r="S31" s="50">
        <f t="shared" si="5"/>
        <v>0</v>
      </c>
      <c r="T31" s="50">
        <f t="shared" si="6"/>
        <v>0</v>
      </c>
      <c r="U31" s="50">
        <f t="shared" si="7"/>
        <v>0</v>
      </c>
      <c r="V31" s="50">
        <f t="shared" si="8"/>
        <v>0</v>
      </c>
      <c r="W31" s="50">
        <f t="shared" si="9"/>
        <v>0</v>
      </c>
      <c r="X31" s="50">
        <f t="shared" si="10"/>
        <v>0</v>
      </c>
      <c r="Y31" s="50">
        <f t="shared" si="11"/>
        <v>135</v>
      </c>
      <c r="Z31" s="50">
        <f t="shared" si="12"/>
        <v>16.875</v>
      </c>
      <c r="AA31" s="50">
        <f t="shared" si="13"/>
        <v>118.125</v>
      </c>
      <c r="AB31" s="50">
        <f t="shared" si="14"/>
        <v>16.875</v>
      </c>
      <c r="AC31" s="50">
        <f t="shared" si="15"/>
        <v>101.25</v>
      </c>
      <c r="AD31" s="50">
        <f t="shared" si="16"/>
        <v>16.875</v>
      </c>
      <c r="AE31" s="50">
        <f t="shared" si="17"/>
        <v>84.375</v>
      </c>
      <c r="AF31" s="50">
        <f t="shared" si="18"/>
        <v>16.875</v>
      </c>
      <c r="AG31" s="51" t="str">
        <f t="shared" si="19"/>
        <v xml:space="preserve">5 MACHINERY,UTILITIESALL </v>
      </c>
      <c r="AH31" s="41"/>
      <c r="AI31" s="51" t="s">
        <v>121</v>
      </c>
      <c r="AJ31" s="51" t="s">
        <v>122</v>
      </c>
    </row>
    <row r="32" spans="1:36" ht="15.95" customHeight="1">
      <c r="A32" s="41" t="s">
        <v>129</v>
      </c>
      <c r="B32" s="42" t="s">
        <v>95</v>
      </c>
      <c r="C32" s="43" t="s">
        <v>130</v>
      </c>
      <c r="D32" s="44" t="s">
        <v>131</v>
      </c>
      <c r="E32" s="42" t="s">
        <v>119</v>
      </c>
      <c r="F32" s="42" t="s">
        <v>72</v>
      </c>
      <c r="G32" s="42" t="s">
        <v>120</v>
      </c>
      <c r="H32" s="41">
        <v>2026</v>
      </c>
      <c r="I32" s="45" t="s">
        <v>73</v>
      </c>
      <c r="J32" s="45"/>
      <c r="K32" s="54">
        <v>1</v>
      </c>
      <c r="L32" s="47">
        <v>200</v>
      </c>
      <c r="M32" s="48">
        <f>+IF(E32="",0,VLOOKUP(E32,[1]Code!J:K,2,0))</f>
        <v>8</v>
      </c>
      <c r="N32" s="49">
        <f t="shared" si="0"/>
        <v>0.125</v>
      </c>
      <c r="O32" s="50">
        <f t="shared" si="1"/>
        <v>0</v>
      </c>
      <c r="P32" s="50">
        <f t="shared" si="2"/>
        <v>0</v>
      </c>
      <c r="Q32" s="50">
        <f t="shared" si="3"/>
        <v>0</v>
      </c>
      <c r="R32" s="50">
        <f t="shared" si="4"/>
        <v>0</v>
      </c>
      <c r="S32" s="50">
        <f t="shared" si="5"/>
        <v>0</v>
      </c>
      <c r="T32" s="50">
        <f t="shared" si="6"/>
        <v>0</v>
      </c>
      <c r="U32" s="50">
        <f t="shared" si="7"/>
        <v>0</v>
      </c>
      <c r="V32" s="50">
        <f t="shared" si="8"/>
        <v>0</v>
      </c>
      <c r="W32" s="50">
        <f t="shared" si="9"/>
        <v>0</v>
      </c>
      <c r="X32" s="50">
        <f t="shared" si="10"/>
        <v>0</v>
      </c>
      <c r="Y32" s="50">
        <f t="shared" si="11"/>
        <v>200</v>
      </c>
      <c r="Z32" s="50">
        <f t="shared" si="12"/>
        <v>25</v>
      </c>
      <c r="AA32" s="50">
        <f t="shared" si="13"/>
        <v>175</v>
      </c>
      <c r="AB32" s="50">
        <f t="shared" si="14"/>
        <v>25</v>
      </c>
      <c r="AC32" s="50">
        <f t="shared" si="15"/>
        <v>150</v>
      </c>
      <c r="AD32" s="50">
        <f t="shared" si="16"/>
        <v>25</v>
      </c>
      <c r="AE32" s="50">
        <f t="shared" si="17"/>
        <v>125</v>
      </c>
      <c r="AF32" s="50">
        <f t="shared" si="18"/>
        <v>25</v>
      </c>
      <c r="AG32" s="51" t="str">
        <f t="shared" si="19"/>
        <v xml:space="preserve">5 MACHINERY,UTILITIESALL </v>
      </c>
      <c r="AH32" s="41"/>
      <c r="AI32" s="51" t="s">
        <v>121</v>
      </c>
      <c r="AJ32" s="51" t="s">
        <v>122</v>
      </c>
    </row>
    <row r="33" spans="1:36" ht="15.95" customHeight="1">
      <c r="A33" s="41" t="s">
        <v>132</v>
      </c>
      <c r="B33" s="42" t="s">
        <v>95</v>
      </c>
      <c r="C33" s="43" t="s">
        <v>133</v>
      </c>
      <c r="D33" s="44" t="s">
        <v>134</v>
      </c>
      <c r="E33" s="42" t="s">
        <v>90</v>
      </c>
      <c r="F33" s="42" t="s">
        <v>72</v>
      </c>
      <c r="G33" s="42" t="s">
        <v>120</v>
      </c>
      <c r="H33" s="41">
        <v>2026</v>
      </c>
      <c r="I33" s="45" t="s">
        <v>135</v>
      </c>
      <c r="J33" s="45"/>
      <c r="K33" s="54">
        <v>1</v>
      </c>
      <c r="L33" s="47">
        <v>500</v>
      </c>
      <c r="M33" s="48">
        <f>+IF(E33="",0,VLOOKUP(E33,[1]Code!J:K,2,0))</f>
        <v>10</v>
      </c>
      <c r="N33" s="49">
        <f t="shared" si="0"/>
        <v>0.1</v>
      </c>
      <c r="O33" s="50">
        <f t="shared" si="1"/>
        <v>0</v>
      </c>
      <c r="P33" s="50">
        <f t="shared" si="2"/>
        <v>0</v>
      </c>
      <c r="Q33" s="50">
        <f t="shared" si="3"/>
        <v>0</v>
      </c>
      <c r="R33" s="50">
        <f t="shared" si="4"/>
        <v>0</v>
      </c>
      <c r="S33" s="50">
        <f t="shared" si="5"/>
        <v>0</v>
      </c>
      <c r="T33" s="50">
        <f t="shared" si="6"/>
        <v>0</v>
      </c>
      <c r="U33" s="50">
        <f t="shared" si="7"/>
        <v>0</v>
      </c>
      <c r="V33" s="50">
        <f t="shared" si="8"/>
        <v>0</v>
      </c>
      <c r="W33" s="50">
        <f t="shared" si="9"/>
        <v>0</v>
      </c>
      <c r="X33" s="50">
        <f t="shared" si="10"/>
        <v>0</v>
      </c>
      <c r="Y33" s="50">
        <f t="shared" si="11"/>
        <v>500</v>
      </c>
      <c r="Z33" s="50">
        <f t="shared" si="12"/>
        <v>50</v>
      </c>
      <c r="AA33" s="50">
        <f t="shared" si="13"/>
        <v>450</v>
      </c>
      <c r="AB33" s="50">
        <f t="shared" si="14"/>
        <v>50</v>
      </c>
      <c r="AC33" s="50">
        <f t="shared" si="15"/>
        <v>400</v>
      </c>
      <c r="AD33" s="50">
        <f t="shared" si="16"/>
        <v>50</v>
      </c>
      <c r="AE33" s="50">
        <f t="shared" si="17"/>
        <v>350</v>
      </c>
      <c r="AF33" s="50">
        <f t="shared" si="18"/>
        <v>50</v>
      </c>
      <c r="AG33" s="51" t="str">
        <f t="shared" si="19"/>
        <v xml:space="preserve">12 FURNITURE &amp; FIXTUREALL </v>
      </c>
      <c r="AH33" s="41"/>
      <c r="AI33" s="51" t="s">
        <v>121</v>
      </c>
      <c r="AJ33" s="51" t="s">
        <v>122</v>
      </c>
    </row>
    <row r="34" spans="1:36" ht="15.95" customHeight="1">
      <c r="A34" s="41" t="s">
        <v>136</v>
      </c>
      <c r="B34" s="42" t="s">
        <v>49</v>
      </c>
      <c r="C34" s="43" t="s">
        <v>137</v>
      </c>
      <c r="D34" s="44" t="s">
        <v>138</v>
      </c>
      <c r="E34" s="42" t="s">
        <v>90</v>
      </c>
      <c r="F34" s="42" t="s">
        <v>72</v>
      </c>
      <c r="G34" s="42" t="s">
        <v>120</v>
      </c>
      <c r="H34" s="41">
        <v>2026</v>
      </c>
      <c r="I34" s="45" t="s">
        <v>135</v>
      </c>
      <c r="J34" s="45"/>
      <c r="K34" s="54">
        <v>22</v>
      </c>
      <c r="L34" s="47">
        <v>1980</v>
      </c>
      <c r="M34" s="48">
        <f>+IF(E34="",0,VLOOKUP(E34,[1]Code!J:K,2,0))</f>
        <v>10</v>
      </c>
      <c r="N34" s="49">
        <f t="shared" si="0"/>
        <v>0.1</v>
      </c>
      <c r="O34" s="50">
        <f t="shared" si="1"/>
        <v>0</v>
      </c>
      <c r="P34" s="50">
        <f t="shared" si="2"/>
        <v>0</v>
      </c>
      <c r="Q34" s="50">
        <f t="shared" si="3"/>
        <v>0</v>
      </c>
      <c r="R34" s="50">
        <f t="shared" si="4"/>
        <v>0</v>
      </c>
      <c r="S34" s="50">
        <f t="shared" si="5"/>
        <v>0</v>
      </c>
      <c r="T34" s="50">
        <f t="shared" si="6"/>
        <v>0</v>
      </c>
      <c r="U34" s="50">
        <f t="shared" si="7"/>
        <v>0</v>
      </c>
      <c r="V34" s="50">
        <f t="shared" si="8"/>
        <v>0</v>
      </c>
      <c r="W34" s="50">
        <f t="shared" si="9"/>
        <v>0</v>
      </c>
      <c r="X34" s="50">
        <f t="shared" si="10"/>
        <v>0</v>
      </c>
      <c r="Y34" s="50">
        <f t="shared" si="11"/>
        <v>1980</v>
      </c>
      <c r="Z34" s="50">
        <f t="shared" si="12"/>
        <v>198</v>
      </c>
      <c r="AA34" s="50">
        <f t="shared" si="13"/>
        <v>1782</v>
      </c>
      <c r="AB34" s="50">
        <f t="shared" si="14"/>
        <v>198</v>
      </c>
      <c r="AC34" s="50">
        <f t="shared" si="15"/>
        <v>1584</v>
      </c>
      <c r="AD34" s="50">
        <f t="shared" si="16"/>
        <v>198</v>
      </c>
      <c r="AE34" s="50">
        <f t="shared" si="17"/>
        <v>1386</v>
      </c>
      <c r="AF34" s="50">
        <f t="shared" si="18"/>
        <v>198</v>
      </c>
      <c r="AG34" s="51" t="str">
        <f t="shared" si="19"/>
        <v xml:space="preserve">12 FURNITURE &amp; FIXTUREALL </v>
      </c>
      <c r="AH34" s="41"/>
      <c r="AI34" s="51" t="s">
        <v>121</v>
      </c>
      <c r="AJ34" s="51" t="s">
        <v>122</v>
      </c>
    </row>
    <row r="35" spans="1:36" ht="15.95" customHeight="1">
      <c r="A35" s="41" t="s">
        <v>139</v>
      </c>
      <c r="B35" s="42" t="s">
        <v>49</v>
      </c>
      <c r="C35" s="43" t="s">
        <v>140</v>
      </c>
      <c r="D35" s="44" t="s">
        <v>141</v>
      </c>
      <c r="E35" s="42" t="s">
        <v>119</v>
      </c>
      <c r="F35" s="42" t="s">
        <v>72</v>
      </c>
      <c r="G35" s="42" t="s">
        <v>120</v>
      </c>
      <c r="H35" s="41">
        <v>2026</v>
      </c>
      <c r="I35" s="45" t="s">
        <v>135</v>
      </c>
      <c r="J35" s="45"/>
      <c r="K35" s="54">
        <v>2</v>
      </c>
      <c r="L35" s="47">
        <v>1000</v>
      </c>
      <c r="M35" s="48">
        <f>+IF(E35="",0,VLOOKUP(E35,[1]Code!J:K,2,0))</f>
        <v>8</v>
      </c>
      <c r="N35" s="49">
        <f t="shared" si="0"/>
        <v>0.125</v>
      </c>
      <c r="O35" s="50">
        <f t="shared" si="1"/>
        <v>0</v>
      </c>
      <c r="P35" s="50">
        <f t="shared" si="2"/>
        <v>0</v>
      </c>
      <c r="Q35" s="50">
        <f t="shared" si="3"/>
        <v>0</v>
      </c>
      <c r="R35" s="50">
        <f t="shared" si="4"/>
        <v>0</v>
      </c>
      <c r="S35" s="50">
        <f t="shared" si="5"/>
        <v>0</v>
      </c>
      <c r="T35" s="50">
        <f t="shared" si="6"/>
        <v>0</v>
      </c>
      <c r="U35" s="50">
        <f t="shared" si="7"/>
        <v>0</v>
      </c>
      <c r="V35" s="50">
        <f t="shared" si="8"/>
        <v>0</v>
      </c>
      <c r="W35" s="50">
        <f t="shared" si="9"/>
        <v>0</v>
      </c>
      <c r="X35" s="50">
        <f t="shared" si="10"/>
        <v>0</v>
      </c>
      <c r="Y35" s="50">
        <f t="shared" si="11"/>
        <v>1000</v>
      </c>
      <c r="Z35" s="50">
        <f t="shared" si="12"/>
        <v>125</v>
      </c>
      <c r="AA35" s="50">
        <f t="shared" si="13"/>
        <v>875</v>
      </c>
      <c r="AB35" s="50">
        <f t="shared" si="14"/>
        <v>125</v>
      </c>
      <c r="AC35" s="50">
        <f t="shared" si="15"/>
        <v>750</v>
      </c>
      <c r="AD35" s="50">
        <f t="shared" si="16"/>
        <v>125</v>
      </c>
      <c r="AE35" s="50">
        <f t="shared" si="17"/>
        <v>625</v>
      </c>
      <c r="AF35" s="50">
        <f t="shared" si="18"/>
        <v>125</v>
      </c>
      <c r="AG35" s="51" t="str">
        <f t="shared" si="19"/>
        <v xml:space="preserve">5 MACHINERY,UTILITIESALL </v>
      </c>
      <c r="AH35" s="41"/>
      <c r="AI35" s="51" t="s">
        <v>121</v>
      </c>
      <c r="AJ35" s="51" t="s">
        <v>122</v>
      </c>
    </row>
    <row r="36" spans="1:36" ht="15.95" customHeight="1">
      <c r="A36" s="41" t="s">
        <v>142</v>
      </c>
      <c r="B36" s="42" t="s">
        <v>49</v>
      </c>
      <c r="C36" s="43" t="s">
        <v>143</v>
      </c>
      <c r="D36" s="44" t="s">
        <v>144</v>
      </c>
      <c r="E36" s="42" t="s">
        <v>119</v>
      </c>
      <c r="F36" s="42" t="s">
        <v>72</v>
      </c>
      <c r="G36" s="42" t="s">
        <v>120</v>
      </c>
      <c r="H36" s="41">
        <v>2026</v>
      </c>
      <c r="I36" s="45" t="s">
        <v>135</v>
      </c>
      <c r="J36" s="45"/>
      <c r="K36" s="54">
        <v>2</v>
      </c>
      <c r="L36" s="47">
        <v>800</v>
      </c>
      <c r="M36" s="48">
        <f>+IF(E36="",0,VLOOKUP(E36,[1]Code!J:K,2,0))</f>
        <v>8</v>
      </c>
      <c r="N36" s="49">
        <f t="shared" si="0"/>
        <v>0.125</v>
      </c>
      <c r="O36" s="50">
        <f t="shared" si="1"/>
        <v>0</v>
      </c>
      <c r="P36" s="50">
        <f t="shared" si="2"/>
        <v>0</v>
      </c>
      <c r="Q36" s="50">
        <f t="shared" si="3"/>
        <v>0</v>
      </c>
      <c r="R36" s="50">
        <f t="shared" si="4"/>
        <v>0</v>
      </c>
      <c r="S36" s="50">
        <f t="shared" si="5"/>
        <v>0</v>
      </c>
      <c r="T36" s="50">
        <f t="shared" si="6"/>
        <v>0</v>
      </c>
      <c r="U36" s="50">
        <f t="shared" si="7"/>
        <v>0</v>
      </c>
      <c r="V36" s="50">
        <f t="shared" si="8"/>
        <v>0</v>
      </c>
      <c r="W36" s="50">
        <f t="shared" si="9"/>
        <v>0</v>
      </c>
      <c r="X36" s="50">
        <f t="shared" si="10"/>
        <v>0</v>
      </c>
      <c r="Y36" s="50">
        <f t="shared" si="11"/>
        <v>800</v>
      </c>
      <c r="Z36" s="50">
        <f t="shared" si="12"/>
        <v>100</v>
      </c>
      <c r="AA36" s="50">
        <f t="shared" si="13"/>
        <v>700</v>
      </c>
      <c r="AB36" s="50">
        <f t="shared" si="14"/>
        <v>100</v>
      </c>
      <c r="AC36" s="50">
        <f t="shared" si="15"/>
        <v>600</v>
      </c>
      <c r="AD36" s="50">
        <f t="shared" si="16"/>
        <v>100</v>
      </c>
      <c r="AE36" s="50">
        <f t="shared" si="17"/>
        <v>500</v>
      </c>
      <c r="AF36" s="50">
        <f t="shared" si="18"/>
        <v>100</v>
      </c>
      <c r="AG36" s="51" t="str">
        <f t="shared" si="19"/>
        <v xml:space="preserve">5 MACHINERY,UTILITIESALL </v>
      </c>
      <c r="AH36" s="41"/>
      <c r="AI36" s="51" t="s">
        <v>121</v>
      </c>
      <c r="AJ36" s="51" t="s">
        <v>122</v>
      </c>
    </row>
    <row r="37" spans="1:36" ht="15.95" customHeight="1">
      <c r="A37" s="41" t="s">
        <v>145</v>
      </c>
      <c r="B37" s="42" t="s">
        <v>49</v>
      </c>
      <c r="C37" s="43" t="s">
        <v>146</v>
      </c>
      <c r="D37" s="44" t="s">
        <v>147</v>
      </c>
      <c r="E37" s="42" t="s">
        <v>119</v>
      </c>
      <c r="F37" s="42" t="s">
        <v>72</v>
      </c>
      <c r="G37" s="42" t="s">
        <v>120</v>
      </c>
      <c r="H37" s="41">
        <v>2026</v>
      </c>
      <c r="I37" s="45" t="s">
        <v>135</v>
      </c>
      <c r="J37" s="45"/>
      <c r="K37" s="54">
        <v>1</v>
      </c>
      <c r="L37" s="47">
        <v>200</v>
      </c>
      <c r="M37" s="48">
        <f>+IF(E37="",0,VLOOKUP(E37,[1]Code!J:K,2,0))</f>
        <v>8</v>
      </c>
      <c r="N37" s="49">
        <f t="shared" si="0"/>
        <v>0.125</v>
      </c>
      <c r="O37" s="50">
        <f t="shared" si="1"/>
        <v>0</v>
      </c>
      <c r="P37" s="50">
        <f t="shared" si="2"/>
        <v>0</v>
      </c>
      <c r="Q37" s="50">
        <f t="shared" si="3"/>
        <v>0</v>
      </c>
      <c r="R37" s="50">
        <f t="shared" si="4"/>
        <v>0</v>
      </c>
      <c r="S37" s="50">
        <f t="shared" si="5"/>
        <v>0</v>
      </c>
      <c r="T37" s="50">
        <f t="shared" si="6"/>
        <v>0</v>
      </c>
      <c r="U37" s="50">
        <f t="shared" si="7"/>
        <v>0</v>
      </c>
      <c r="V37" s="50">
        <f t="shared" si="8"/>
        <v>0</v>
      </c>
      <c r="W37" s="50">
        <f t="shared" si="9"/>
        <v>0</v>
      </c>
      <c r="X37" s="50">
        <f t="shared" si="10"/>
        <v>0</v>
      </c>
      <c r="Y37" s="50">
        <f t="shared" si="11"/>
        <v>200</v>
      </c>
      <c r="Z37" s="50">
        <f t="shared" si="12"/>
        <v>25</v>
      </c>
      <c r="AA37" s="50">
        <f t="shared" si="13"/>
        <v>175</v>
      </c>
      <c r="AB37" s="50">
        <f t="shared" si="14"/>
        <v>25</v>
      </c>
      <c r="AC37" s="50">
        <f t="shared" si="15"/>
        <v>150</v>
      </c>
      <c r="AD37" s="50">
        <f t="shared" si="16"/>
        <v>25</v>
      </c>
      <c r="AE37" s="50">
        <f t="shared" si="17"/>
        <v>125</v>
      </c>
      <c r="AF37" s="50">
        <f t="shared" si="18"/>
        <v>25</v>
      </c>
      <c r="AG37" s="51" t="str">
        <f t="shared" si="19"/>
        <v xml:space="preserve">5 MACHINERY,UTILITIESALL </v>
      </c>
      <c r="AH37" s="41"/>
      <c r="AI37" s="51" t="s">
        <v>121</v>
      </c>
      <c r="AJ37" s="51" t="s">
        <v>122</v>
      </c>
    </row>
    <row r="38" spans="1:36" ht="15.95" customHeight="1">
      <c r="A38" s="41" t="s">
        <v>148</v>
      </c>
      <c r="B38" s="42" t="s">
        <v>49</v>
      </c>
      <c r="C38" s="43" t="s">
        <v>149</v>
      </c>
      <c r="D38" s="44" t="s">
        <v>150</v>
      </c>
      <c r="E38" s="42" t="s">
        <v>119</v>
      </c>
      <c r="F38" s="42" t="s">
        <v>72</v>
      </c>
      <c r="G38" s="42" t="s">
        <v>120</v>
      </c>
      <c r="H38" s="41">
        <v>2026</v>
      </c>
      <c r="I38" s="45" t="s">
        <v>135</v>
      </c>
      <c r="J38" s="45"/>
      <c r="K38" s="54">
        <v>2</v>
      </c>
      <c r="L38" s="47">
        <v>260</v>
      </c>
      <c r="M38" s="48">
        <f>+IF(E38="",0,VLOOKUP(E38,[1]Code!J:K,2,0))</f>
        <v>8</v>
      </c>
      <c r="N38" s="49">
        <f t="shared" si="0"/>
        <v>0.125</v>
      </c>
      <c r="O38" s="50">
        <f t="shared" si="1"/>
        <v>0</v>
      </c>
      <c r="P38" s="50">
        <f t="shared" si="2"/>
        <v>0</v>
      </c>
      <c r="Q38" s="50">
        <f t="shared" si="3"/>
        <v>0</v>
      </c>
      <c r="R38" s="50">
        <f t="shared" si="4"/>
        <v>0</v>
      </c>
      <c r="S38" s="50">
        <f t="shared" si="5"/>
        <v>0</v>
      </c>
      <c r="T38" s="50">
        <f t="shared" si="6"/>
        <v>0</v>
      </c>
      <c r="U38" s="50">
        <f t="shared" si="7"/>
        <v>0</v>
      </c>
      <c r="V38" s="50">
        <f t="shared" si="8"/>
        <v>0</v>
      </c>
      <c r="W38" s="50">
        <f t="shared" si="9"/>
        <v>0</v>
      </c>
      <c r="X38" s="50">
        <f t="shared" si="10"/>
        <v>0</v>
      </c>
      <c r="Y38" s="50">
        <f t="shared" si="11"/>
        <v>260</v>
      </c>
      <c r="Z38" s="50">
        <f t="shared" si="12"/>
        <v>32.5</v>
      </c>
      <c r="AA38" s="50">
        <f t="shared" si="13"/>
        <v>227.5</v>
      </c>
      <c r="AB38" s="50">
        <f t="shared" si="14"/>
        <v>32.5</v>
      </c>
      <c r="AC38" s="50">
        <f t="shared" si="15"/>
        <v>195</v>
      </c>
      <c r="AD38" s="50">
        <f t="shared" si="16"/>
        <v>32.5</v>
      </c>
      <c r="AE38" s="50">
        <f t="shared" si="17"/>
        <v>162.5</v>
      </c>
      <c r="AF38" s="50">
        <f t="shared" si="18"/>
        <v>32.5</v>
      </c>
      <c r="AG38" s="51" t="str">
        <f t="shared" si="19"/>
        <v xml:space="preserve">5 MACHINERY,UTILITIESALL </v>
      </c>
      <c r="AH38" s="41"/>
      <c r="AI38" s="51" t="s">
        <v>121</v>
      </c>
      <c r="AJ38" s="51" t="s">
        <v>122</v>
      </c>
    </row>
    <row r="39" spans="1:36" ht="15.95" customHeight="1">
      <c r="A39" s="41" t="s">
        <v>151</v>
      </c>
      <c r="B39" s="42" t="s">
        <v>49</v>
      </c>
      <c r="C39" s="43" t="s">
        <v>152</v>
      </c>
      <c r="D39" s="44" t="s">
        <v>153</v>
      </c>
      <c r="E39" s="42" t="s">
        <v>119</v>
      </c>
      <c r="F39" s="42" t="s">
        <v>72</v>
      </c>
      <c r="G39" s="42" t="s">
        <v>120</v>
      </c>
      <c r="H39" s="41">
        <v>2026</v>
      </c>
      <c r="I39" s="45" t="s">
        <v>135</v>
      </c>
      <c r="J39" s="45"/>
      <c r="K39" s="54">
        <v>1</v>
      </c>
      <c r="L39" s="47">
        <v>300</v>
      </c>
      <c r="M39" s="48">
        <f>+IF(E39="",0,VLOOKUP(E39,[1]Code!J:K,2,0))</f>
        <v>8</v>
      </c>
      <c r="N39" s="49">
        <f t="shared" si="0"/>
        <v>0.125</v>
      </c>
      <c r="O39" s="50">
        <f t="shared" si="1"/>
        <v>0</v>
      </c>
      <c r="P39" s="50">
        <f t="shared" si="2"/>
        <v>0</v>
      </c>
      <c r="Q39" s="50">
        <f t="shared" si="3"/>
        <v>0</v>
      </c>
      <c r="R39" s="50">
        <f t="shared" si="4"/>
        <v>0</v>
      </c>
      <c r="S39" s="50">
        <f t="shared" si="5"/>
        <v>0</v>
      </c>
      <c r="T39" s="50">
        <f t="shared" si="6"/>
        <v>0</v>
      </c>
      <c r="U39" s="50">
        <f t="shared" si="7"/>
        <v>0</v>
      </c>
      <c r="V39" s="50">
        <f t="shared" si="8"/>
        <v>0</v>
      </c>
      <c r="W39" s="50">
        <f t="shared" si="9"/>
        <v>0</v>
      </c>
      <c r="X39" s="50">
        <f t="shared" si="10"/>
        <v>0</v>
      </c>
      <c r="Y39" s="50">
        <f t="shared" si="11"/>
        <v>300</v>
      </c>
      <c r="Z39" s="50">
        <f t="shared" si="12"/>
        <v>37.5</v>
      </c>
      <c r="AA39" s="50">
        <f t="shared" si="13"/>
        <v>262.5</v>
      </c>
      <c r="AB39" s="50">
        <f t="shared" si="14"/>
        <v>37.5</v>
      </c>
      <c r="AC39" s="50">
        <f t="shared" si="15"/>
        <v>225</v>
      </c>
      <c r="AD39" s="50">
        <f t="shared" si="16"/>
        <v>37.5</v>
      </c>
      <c r="AE39" s="50">
        <f t="shared" si="17"/>
        <v>187.5</v>
      </c>
      <c r="AF39" s="50">
        <f t="shared" si="18"/>
        <v>37.5</v>
      </c>
      <c r="AG39" s="51" t="str">
        <f t="shared" si="19"/>
        <v xml:space="preserve">5 MACHINERY,UTILITIESALL </v>
      </c>
      <c r="AH39" s="41"/>
      <c r="AI39" s="51" t="s">
        <v>121</v>
      </c>
      <c r="AJ39" s="51" t="s">
        <v>122</v>
      </c>
    </row>
    <row r="40" spans="1:36" ht="15.95" customHeight="1">
      <c r="A40" s="41" t="s">
        <v>154</v>
      </c>
      <c r="B40" s="42" t="s">
        <v>49</v>
      </c>
      <c r="C40" s="43" t="s">
        <v>155</v>
      </c>
      <c r="D40" s="44" t="s">
        <v>156</v>
      </c>
      <c r="E40" s="42" t="s">
        <v>119</v>
      </c>
      <c r="F40" s="42" t="s">
        <v>72</v>
      </c>
      <c r="G40" s="42" t="s">
        <v>120</v>
      </c>
      <c r="H40" s="41">
        <v>2026</v>
      </c>
      <c r="I40" s="45" t="s">
        <v>135</v>
      </c>
      <c r="J40" s="45"/>
      <c r="K40" s="54">
        <v>1</v>
      </c>
      <c r="L40" s="47">
        <v>2000</v>
      </c>
      <c r="M40" s="48">
        <f>+IF(E40="",0,VLOOKUP(E40,[1]Code!J:K,2,0))</f>
        <v>8</v>
      </c>
      <c r="N40" s="49">
        <f t="shared" si="0"/>
        <v>0.125</v>
      </c>
      <c r="O40" s="50">
        <f t="shared" si="1"/>
        <v>0</v>
      </c>
      <c r="P40" s="50">
        <f t="shared" si="2"/>
        <v>0</v>
      </c>
      <c r="Q40" s="50">
        <f t="shared" si="3"/>
        <v>0</v>
      </c>
      <c r="R40" s="50">
        <f t="shared" si="4"/>
        <v>0</v>
      </c>
      <c r="S40" s="50">
        <f t="shared" si="5"/>
        <v>0</v>
      </c>
      <c r="T40" s="50">
        <f t="shared" si="6"/>
        <v>0</v>
      </c>
      <c r="U40" s="50">
        <f t="shared" si="7"/>
        <v>0</v>
      </c>
      <c r="V40" s="50">
        <f t="shared" si="8"/>
        <v>0</v>
      </c>
      <c r="W40" s="50">
        <f t="shared" si="9"/>
        <v>0</v>
      </c>
      <c r="X40" s="50">
        <f t="shared" si="10"/>
        <v>0</v>
      </c>
      <c r="Y40" s="50">
        <f t="shared" si="11"/>
        <v>2000</v>
      </c>
      <c r="Z40" s="50">
        <f t="shared" si="12"/>
        <v>250</v>
      </c>
      <c r="AA40" s="50">
        <f t="shared" si="13"/>
        <v>1750</v>
      </c>
      <c r="AB40" s="50">
        <f t="shared" si="14"/>
        <v>250</v>
      </c>
      <c r="AC40" s="50">
        <f t="shared" si="15"/>
        <v>1500</v>
      </c>
      <c r="AD40" s="50">
        <f t="shared" si="16"/>
        <v>250</v>
      </c>
      <c r="AE40" s="50">
        <f t="shared" si="17"/>
        <v>1250</v>
      </c>
      <c r="AF40" s="50">
        <f t="shared" si="18"/>
        <v>250</v>
      </c>
      <c r="AG40" s="51" t="str">
        <f t="shared" si="19"/>
        <v xml:space="preserve">5 MACHINERY,UTILITIESALL </v>
      </c>
      <c r="AH40" s="41"/>
      <c r="AI40" s="51" t="s">
        <v>121</v>
      </c>
      <c r="AJ40" s="51" t="s">
        <v>122</v>
      </c>
    </row>
    <row r="41" spans="1:36" ht="15.95" customHeight="1">
      <c r="A41" s="41" t="s">
        <v>157</v>
      </c>
      <c r="B41" s="42" t="s">
        <v>49</v>
      </c>
      <c r="C41" s="43" t="s">
        <v>124</v>
      </c>
      <c r="D41" s="44" t="s">
        <v>158</v>
      </c>
      <c r="E41" s="42" t="s">
        <v>119</v>
      </c>
      <c r="F41" s="42" t="s">
        <v>72</v>
      </c>
      <c r="G41" s="42" t="s">
        <v>120</v>
      </c>
      <c r="H41" s="41">
        <v>2026</v>
      </c>
      <c r="I41" s="45" t="s">
        <v>76</v>
      </c>
      <c r="J41" s="45"/>
      <c r="K41" s="54">
        <v>4</v>
      </c>
      <c r="L41" s="47">
        <v>84</v>
      </c>
      <c r="M41" s="48">
        <f>+IF(E41="",0,VLOOKUP(E41,[1]Code!J:K,2,0))</f>
        <v>8</v>
      </c>
      <c r="N41" s="49">
        <f t="shared" si="0"/>
        <v>0.125</v>
      </c>
      <c r="O41" s="50">
        <f t="shared" si="1"/>
        <v>0</v>
      </c>
      <c r="P41" s="50">
        <f t="shared" si="2"/>
        <v>0</v>
      </c>
      <c r="Q41" s="50">
        <f t="shared" si="3"/>
        <v>0</v>
      </c>
      <c r="R41" s="50">
        <f t="shared" si="4"/>
        <v>0</v>
      </c>
      <c r="S41" s="50">
        <f t="shared" si="5"/>
        <v>0</v>
      </c>
      <c r="T41" s="50">
        <f t="shared" si="6"/>
        <v>0</v>
      </c>
      <c r="U41" s="50">
        <f t="shared" si="7"/>
        <v>0</v>
      </c>
      <c r="V41" s="50">
        <f t="shared" si="8"/>
        <v>0</v>
      </c>
      <c r="W41" s="50">
        <f t="shared" si="9"/>
        <v>0</v>
      </c>
      <c r="X41" s="50">
        <f t="shared" si="10"/>
        <v>0</v>
      </c>
      <c r="Y41" s="50">
        <f t="shared" si="11"/>
        <v>84</v>
      </c>
      <c r="Z41" s="50">
        <f t="shared" si="12"/>
        <v>10.5</v>
      </c>
      <c r="AA41" s="50">
        <f t="shared" si="13"/>
        <v>73.5</v>
      </c>
      <c r="AB41" s="50">
        <f t="shared" si="14"/>
        <v>10.5</v>
      </c>
      <c r="AC41" s="50">
        <f t="shared" si="15"/>
        <v>63</v>
      </c>
      <c r="AD41" s="50">
        <f t="shared" si="16"/>
        <v>10.5</v>
      </c>
      <c r="AE41" s="50">
        <f t="shared" si="17"/>
        <v>52.5</v>
      </c>
      <c r="AF41" s="50">
        <f t="shared" si="18"/>
        <v>10.5</v>
      </c>
      <c r="AG41" s="51" t="str">
        <f t="shared" si="19"/>
        <v xml:space="preserve">5 MACHINERY,UTILITIESALL </v>
      </c>
      <c r="AH41" s="41"/>
      <c r="AI41" s="51" t="s">
        <v>121</v>
      </c>
      <c r="AJ41" s="51" t="s">
        <v>122</v>
      </c>
    </row>
    <row r="42" spans="1:36" ht="15.95" customHeight="1">
      <c r="A42" s="41" t="s">
        <v>159</v>
      </c>
      <c r="B42" s="42" t="s">
        <v>49</v>
      </c>
      <c r="C42" s="43" t="s">
        <v>160</v>
      </c>
      <c r="D42" s="44" t="s">
        <v>161</v>
      </c>
      <c r="E42" s="42" t="s">
        <v>90</v>
      </c>
      <c r="F42" s="42" t="s">
        <v>72</v>
      </c>
      <c r="G42" s="42" t="s">
        <v>120</v>
      </c>
      <c r="H42" s="41">
        <v>2026</v>
      </c>
      <c r="I42" s="45" t="s">
        <v>76</v>
      </c>
      <c r="J42" s="45"/>
      <c r="K42" s="54">
        <v>2</v>
      </c>
      <c r="L42" s="47">
        <v>40</v>
      </c>
      <c r="M42" s="48">
        <f>+IF(E42="",0,VLOOKUP(E42,[1]Code!J:K,2,0))</f>
        <v>10</v>
      </c>
      <c r="N42" s="49">
        <f t="shared" si="0"/>
        <v>0.1</v>
      </c>
      <c r="O42" s="50">
        <f t="shared" si="1"/>
        <v>0</v>
      </c>
      <c r="P42" s="50">
        <f t="shared" si="2"/>
        <v>0</v>
      </c>
      <c r="Q42" s="50">
        <f t="shared" si="3"/>
        <v>0</v>
      </c>
      <c r="R42" s="50">
        <f t="shared" si="4"/>
        <v>0</v>
      </c>
      <c r="S42" s="50">
        <f t="shared" si="5"/>
        <v>0</v>
      </c>
      <c r="T42" s="50">
        <f t="shared" si="6"/>
        <v>0</v>
      </c>
      <c r="U42" s="50">
        <f t="shared" si="7"/>
        <v>0</v>
      </c>
      <c r="V42" s="50">
        <f t="shared" si="8"/>
        <v>0</v>
      </c>
      <c r="W42" s="50">
        <f t="shared" si="9"/>
        <v>0</v>
      </c>
      <c r="X42" s="50">
        <f t="shared" si="10"/>
        <v>0</v>
      </c>
      <c r="Y42" s="50">
        <f t="shared" si="11"/>
        <v>40</v>
      </c>
      <c r="Z42" s="50">
        <f t="shared" si="12"/>
        <v>4</v>
      </c>
      <c r="AA42" s="50">
        <f t="shared" si="13"/>
        <v>36</v>
      </c>
      <c r="AB42" s="50">
        <f t="shared" si="14"/>
        <v>4</v>
      </c>
      <c r="AC42" s="50">
        <f t="shared" si="15"/>
        <v>32</v>
      </c>
      <c r="AD42" s="50">
        <f t="shared" si="16"/>
        <v>4</v>
      </c>
      <c r="AE42" s="50">
        <f t="shared" si="17"/>
        <v>28</v>
      </c>
      <c r="AF42" s="50">
        <f t="shared" si="18"/>
        <v>4</v>
      </c>
      <c r="AG42" s="51" t="str">
        <f t="shared" si="19"/>
        <v xml:space="preserve">12 FURNITURE &amp; FIXTUREALL </v>
      </c>
      <c r="AH42" s="41"/>
      <c r="AI42" s="51" t="s">
        <v>121</v>
      </c>
      <c r="AJ42" s="51" t="s">
        <v>122</v>
      </c>
    </row>
    <row r="43" spans="1:36" ht="15.95" customHeight="1">
      <c r="A43" s="41" t="s">
        <v>162</v>
      </c>
      <c r="B43" s="42" t="s">
        <v>95</v>
      </c>
      <c r="C43" s="43" t="s">
        <v>127</v>
      </c>
      <c r="D43" s="52" t="s">
        <v>163</v>
      </c>
      <c r="E43" s="42" t="s">
        <v>119</v>
      </c>
      <c r="F43" s="42" t="s">
        <v>72</v>
      </c>
      <c r="G43" s="42" t="s">
        <v>120</v>
      </c>
      <c r="H43" s="41">
        <v>2026</v>
      </c>
      <c r="I43" s="45" t="s">
        <v>76</v>
      </c>
      <c r="J43" s="45"/>
      <c r="K43" s="54">
        <v>1</v>
      </c>
      <c r="L43" s="47">
        <v>45</v>
      </c>
      <c r="M43" s="48">
        <f>+IF(E43="",0,VLOOKUP(E43,[1]Code!J:K,2,0))</f>
        <v>8</v>
      </c>
      <c r="N43" s="49">
        <f t="shared" si="0"/>
        <v>0.125</v>
      </c>
      <c r="O43" s="50">
        <f t="shared" si="1"/>
        <v>0</v>
      </c>
      <c r="P43" s="50">
        <f t="shared" si="2"/>
        <v>0</v>
      </c>
      <c r="Q43" s="50">
        <f t="shared" si="3"/>
        <v>0</v>
      </c>
      <c r="R43" s="50">
        <f t="shared" si="4"/>
        <v>0</v>
      </c>
      <c r="S43" s="50">
        <f t="shared" si="5"/>
        <v>0</v>
      </c>
      <c r="T43" s="50">
        <f t="shared" si="6"/>
        <v>0</v>
      </c>
      <c r="U43" s="50">
        <f t="shared" si="7"/>
        <v>0</v>
      </c>
      <c r="V43" s="50">
        <f t="shared" si="8"/>
        <v>0</v>
      </c>
      <c r="W43" s="50">
        <f t="shared" si="9"/>
        <v>0</v>
      </c>
      <c r="X43" s="50">
        <f t="shared" si="10"/>
        <v>0</v>
      </c>
      <c r="Y43" s="50">
        <f t="shared" si="11"/>
        <v>45</v>
      </c>
      <c r="Z43" s="50">
        <f t="shared" si="12"/>
        <v>5.625</v>
      </c>
      <c r="AA43" s="50">
        <f t="shared" si="13"/>
        <v>39.375</v>
      </c>
      <c r="AB43" s="50">
        <f t="shared" si="14"/>
        <v>5.625</v>
      </c>
      <c r="AC43" s="50">
        <f t="shared" si="15"/>
        <v>33.75</v>
      </c>
      <c r="AD43" s="50">
        <f t="shared" si="16"/>
        <v>5.625</v>
      </c>
      <c r="AE43" s="50">
        <f t="shared" si="17"/>
        <v>28.125</v>
      </c>
      <c r="AF43" s="50">
        <f t="shared" si="18"/>
        <v>5.625</v>
      </c>
      <c r="AG43" s="51" t="str">
        <f t="shared" si="19"/>
        <v xml:space="preserve">5 MACHINERY,UTILITIESALL </v>
      </c>
      <c r="AH43" s="41"/>
      <c r="AI43" s="51" t="s">
        <v>121</v>
      </c>
      <c r="AJ43" s="51" t="s">
        <v>122</v>
      </c>
    </row>
    <row r="44" spans="1:36" ht="15.95" customHeight="1">
      <c r="A44" s="41" t="s">
        <v>164</v>
      </c>
      <c r="B44" s="42" t="s">
        <v>95</v>
      </c>
      <c r="C44" s="43" t="s">
        <v>130</v>
      </c>
      <c r="D44" s="44" t="s">
        <v>165</v>
      </c>
      <c r="E44" s="42" t="s">
        <v>119</v>
      </c>
      <c r="F44" s="42" t="s">
        <v>72</v>
      </c>
      <c r="G44" s="42" t="s">
        <v>120</v>
      </c>
      <c r="H44" s="41">
        <v>2026</v>
      </c>
      <c r="I44" s="45" t="s">
        <v>76</v>
      </c>
      <c r="J44" s="45"/>
      <c r="K44" s="54">
        <v>1</v>
      </c>
      <c r="L44" s="47">
        <v>200</v>
      </c>
      <c r="M44" s="48">
        <f>+IF(E44="",0,VLOOKUP(E44,[1]Code!J:K,2,0))</f>
        <v>8</v>
      </c>
      <c r="N44" s="49">
        <f t="shared" si="0"/>
        <v>0.125</v>
      </c>
      <c r="O44" s="50">
        <f t="shared" si="1"/>
        <v>0</v>
      </c>
      <c r="P44" s="50">
        <f t="shared" si="2"/>
        <v>0</v>
      </c>
      <c r="Q44" s="50">
        <f t="shared" si="3"/>
        <v>0</v>
      </c>
      <c r="R44" s="50">
        <f t="shared" si="4"/>
        <v>0</v>
      </c>
      <c r="S44" s="50">
        <f t="shared" si="5"/>
        <v>0</v>
      </c>
      <c r="T44" s="50">
        <f t="shared" si="6"/>
        <v>0</v>
      </c>
      <c r="U44" s="50">
        <f t="shared" si="7"/>
        <v>0</v>
      </c>
      <c r="V44" s="50">
        <f t="shared" si="8"/>
        <v>0</v>
      </c>
      <c r="W44" s="50">
        <f t="shared" si="9"/>
        <v>0</v>
      </c>
      <c r="X44" s="50">
        <f t="shared" si="10"/>
        <v>0</v>
      </c>
      <c r="Y44" s="50">
        <f t="shared" si="11"/>
        <v>200</v>
      </c>
      <c r="Z44" s="50">
        <f t="shared" si="12"/>
        <v>25</v>
      </c>
      <c r="AA44" s="50">
        <f t="shared" si="13"/>
        <v>175</v>
      </c>
      <c r="AB44" s="50">
        <f t="shared" si="14"/>
        <v>25</v>
      </c>
      <c r="AC44" s="50">
        <f t="shared" si="15"/>
        <v>150</v>
      </c>
      <c r="AD44" s="50">
        <f t="shared" si="16"/>
        <v>25</v>
      </c>
      <c r="AE44" s="50">
        <f t="shared" si="17"/>
        <v>125</v>
      </c>
      <c r="AF44" s="50">
        <f t="shared" si="18"/>
        <v>25</v>
      </c>
      <c r="AG44" s="51" t="str">
        <f t="shared" si="19"/>
        <v xml:space="preserve">5 MACHINERY,UTILITIESALL </v>
      </c>
      <c r="AH44" s="41"/>
      <c r="AI44" s="51" t="s">
        <v>121</v>
      </c>
      <c r="AJ44" s="51" t="s">
        <v>122</v>
      </c>
    </row>
    <row r="45" spans="1:36" ht="15.95" customHeight="1">
      <c r="A45" s="41" t="s">
        <v>166</v>
      </c>
      <c r="B45" s="42" t="s">
        <v>49</v>
      </c>
      <c r="C45" s="43" t="s">
        <v>167</v>
      </c>
      <c r="D45" s="52" t="s">
        <v>168</v>
      </c>
      <c r="E45" s="42" t="s">
        <v>169</v>
      </c>
      <c r="F45" s="42" t="s">
        <v>72</v>
      </c>
      <c r="G45" s="42" t="s">
        <v>120</v>
      </c>
      <c r="H45" s="41">
        <v>2026</v>
      </c>
      <c r="I45" s="45" t="s">
        <v>135</v>
      </c>
      <c r="J45" s="45"/>
      <c r="K45" s="54">
        <v>1</v>
      </c>
      <c r="L45" s="47">
        <v>50</v>
      </c>
      <c r="M45" s="48">
        <f>+IF(E45="",0,VLOOKUP(E45,[1]Code!J:K,2,0))</f>
        <v>30</v>
      </c>
      <c r="N45" s="49">
        <f t="shared" si="0"/>
        <v>3.3333333333333333E-2</v>
      </c>
      <c r="O45" s="50">
        <f t="shared" si="1"/>
        <v>0</v>
      </c>
      <c r="P45" s="50">
        <f t="shared" si="2"/>
        <v>0</v>
      </c>
      <c r="Q45" s="50">
        <f t="shared" si="3"/>
        <v>0</v>
      </c>
      <c r="R45" s="50">
        <f t="shared" si="4"/>
        <v>0</v>
      </c>
      <c r="S45" s="50">
        <f t="shared" si="5"/>
        <v>0</v>
      </c>
      <c r="T45" s="50">
        <f t="shared" si="6"/>
        <v>0</v>
      </c>
      <c r="U45" s="50">
        <f t="shared" si="7"/>
        <v>0</v>
      </c>
      <c r="V45" s="50">
        <f t="shared" si="8"/>
        <v>0</v>
      </c>
      <c r="W45" s="50">
        <f t="shared" si="9"/>
        <v>0</v>
      </c>
      <c r="X45" s="50">
        <f t="shared" si="10"/>
        <v>0</v>
      </c>
      <c r="Y45" s="50">
        <f t="shared" si="11"/>
        <v>50</v>
      </c>
      <c r="Z45" s="50">
        <f t="shared" si="12"/>
        <v>1.667</v>
      </c>
      <c r="AA45" s="50">
        <f t="shared" si="13"/>
        <v>48.332999999999998</v>
      </c>
      <c r="AB45" s="50">
        <f t="shared" si="14"/>
        <v>1.667</v>
      </c>
      <c r="AC45" s="50">
        <f t="shared" si="15"/>
        <v>46.665999999999997</v>
      </c>
      <c r="AD45" s="50">
        <f t="shared" si="16"/>
        <v>1.667</v>
      </c>
      <c r="AE45" s="50">
        <f t="shared" si="17"/>
        <v>44.998999999999995</v>
      </c>
      <c r="AF45" s="50">
        <f t="shared" si="18"/>
        <v>1.667</v>
      </c>
      <c r="AG45" s="51" t="str">
        <f t="shared" si="19"/>
        <v xml:space="preserve">1 BUILDINGALL </v>
      </c>
      <c r="AH45" s="41"/>
      <c r="AI45" s="51" t="s">
        <v>121</v>
      </c>
      <c r="AJ45" s="51" t="s">
        <v>122</v>
      </c>
    </row>
    <row r="46" spans="1:36" ht="15.95" customHeight="1">
      <c r="A46" s="41" t="s">
        <v>170</v>
      </c>
      <c r="B46" s="42" t="s">
        <v>49</v>
      </c>
      <c r="C46" s="43" t="s">
        <v>171</v>
      </c>
      <c r="D46" s="52" t="s">
        <v>172</v>
      </c>
      <c r="E46" s="42" t="s">
        <v>119</v>
      </c>
      <c r="F46" s="42" t="s">
        <v>72</v>
      </c>
      <c r="G46" s="42" t="s">
        <v>120</v>
      </c>
      <c r="H46" s="41">
        <v>2026</v>
      </c>
      <c r="I46" s="45" t="s">
        <v>135</v>
      </c>
      <c r="J46" s="45"/>
      <c r="K46" s="54">
        <v>1</v>
      </c>
      <c r="L46" s="47">
        <v>160</v>
      </c>
      <c r="M46" s="48">
        <f>+IF(E46="",0,VLOOKUP(E46,[1]Code!J:K,2,0))</f>
        <v>8</v>
      </c>
      <c r="N46" s="49">
        <f t="shared" si="0"/>
        <v>0.125</v>
      </c>
      <c r="O46" s="50">
        <f t="shared" si="1"/>
        <v>0</v>
      </c>
      <c r="P46" s="50">
        <f t="shared" si="2"/>
        <v>0</v>
      </c>
      <c r="Q46" s="50">
        <f t="shared" si="3"/>
        <v>0</v>
      </c>
      <c r="R46" s="50">
        <f t="shared" si="4"/>
        <v>0</v>
      </c>
      <c r="S46" s="50">
        <f t="shared" si="5"/>
        <v>0</v>
      </c>
      <c r="T46" s="50">
        <f t="shared" si="6"/>
        <v>0</v>
      </c>
      <c r="U46" s="50">
        <f t="shared" si="7"/>
        <v>0</v>
      </c>
      <c r="V46" s="50">
        <f t="shared" si="8"/>
        <v>0</v>
      </c>
      <c r="W46" s="50">
        <f t="shared" si="9"/>
        <v>0</v>
      </c>
      <c r="X46" s="50">
        <f t="shared" si="10"/>
        <v>0</v>
      </c>
      <c r="Y46" s="50">
        <f t="shared" si="11"/>
        <v>160</v>
      </c>
      <c r="Z46" s="50">
        <f t="shared" si="12"/>
        <v>20</v>
      </c>
      <c r="AA46" s="50">
        <f t="shared" si="13"/>
        <v>140</v>
      </c>
      <c r="AB46" s="50">
        <f t="shared" si="14"/>
        <v>20</v>
      </c>
      <c r="AC46" s="50">
        <f t="shared" si="15"/>
        <v>120</v>
      </c>
      <c r="AD46" s="50">
        <f t="shared" si="16"/>
        <v>20</v>
      </c>
      <c r="AE46" s="50">
        <f t="shared" si="17"/>
        <v>100</v>
      </c>
      <c r="AF46" s="50">
        <f t="shared" si="18"/>
        <v>20</v>
      </c>
      <c r="AG46" s="51" t="str">
        <f t="shared" si="19"/>
        <v xml:space="preserve">5 MACHINERY,UTILITIESALL </v>
      </c>
      <c r="AH46" s="41"/>
      <c r="AI46" s="51" t="s">
        <v>121</v>
      </c>
      <c r="AJ46" s="51" t="s">
        <v>122</v>
      </c>
    </row>
    <row r="47" spans="1:36" ht="15.95" customHeight="1">
      <c r="A47" s="41" t="s">
        <v>173</v>
      </c>
      <c r="B47" s="42" t="s">
        <v>49</v>
      </c>
      <c r="C47" s="43" t="s">
        <v>171</v>
      </c>
      <c r="D47" s="52" t="s">
        <v>174</v>
      </c>
      <c r="E47" s="42" t="s">
        <v>119</v>
      </c>
      <c r="F47" s="42" t="s">
        <v>72</v>
      </c>
      <c r="G47" s="42" t="s">
        <v>120</v>
      </c>
      <c r="H47" s="41">
        <v>2026</v>
      </c>
      <c r="I47" s="45" t="s">
        <v>135</v>
      </c>
      <c r="J47" s="45"/>
      <c r="K47" s="54">
        <v>2</v>
      </c>
      <c r="L47" s="47">
        <v>320</v>
      </c>
      <c r="M47" s="48">
        <f>+IF(E47="",0,VLOOKUP(E47,[1]Code!J:K,2,0))</f>
        <v>8</v>
      </c>
      <c r="N47" s="49">
        <f t="shared" si="0"/>
        <v>0.125</v>
      </c>
      <c r="O47" s="50">
        <f t="shared" si="1"/>
        <v>0</v>
      </c>
      <c r="P47" s="50">
        <f t="shared" si="2"/>
        <v>0</v>
      </c>
      <c r="Q47" s="50">
        <f t="shared" si="3"/>
        <v>0</v>
      </c>
      <c r="R47" s="50">
        <f t="shared" si="4"/>
        <v>0</v>
      </c>
      <c r="S47" s="50">
        <f t="shared" si="5"/>
        <v>0</v>
      </c>
      <c r="T47" s="50">
        <f t="shared" si="6"/>
        <v>0</v>
      </c>
      <c r="U47" s="50">
        <f t="shared" si="7"/>
        <v>0</v>
      </c>
      <c r="V47" s="50">
        <f t="shared" si="8"/>
        <v>0</v>
      </c>
      <c r="W47" s="50">
        <f t="shared" si="9"/>
        <v>0</v>
      </c>
      <c r="X47" s="50">
        <f t="shared" si="10"/>
        <v>0</v>
      </c>
      <c r="Y47" s="50">
        <f t="shared" si="11"/>
        <v>320</v>
      </c>
      <c r="Z47" s="50">
        <f t="shared" si="12"/>
        <v>40</v>
      </c>
      <c r="AA47" s="50">
        <f t="shared" si="13"/>
        <v>280</v>
      </c>
      <c r="AB47" s="50">
        <f t="shared" si="14"/>
        <v>40</v>
      </c>
      <c r="AC47" s="50">
        <f t="shared" si="15"/>
        <v>240</v>
      </c>
      <c r="AD47" s="50">
        <f t="shared" si="16"/>
        <v>40</v>
      </c>
      <c r="AE47" s="50">
        <f t="shared" si="17"/>
        <v>200</v>
      </c>
      <c r="AF47" s="50">
        <f t="shared" si="18"/>
        <v>40</v>
      </c>
      <c r="AG47" s="51" t="str">
        <f t="shared" si="19"/>
        <v xml:space="preserve">5 MACHINERY,UTILITIESALL </v>
      </c>
      <c r="AH47" s="41"/>
      <c r="AI47" s="51" t="s">
        <v>121</v>
      </c>
      <c r="AJ47" s="51" t="s">
        <v>122</v>
      </c>
    </row>
    <row r="48" spans="1:36" ht="15.95" customHeight="1">
      <c r="A48" s="41" t="s">
        <v>175</v>
      </c>
      <c r="B48" s="42" t="s">
        <v>176</v>
      </c>
      <c r="C48" s="43" t="s">
        <v>177</v>
      </c>
      <c r="D48" s="52" t="s">
        <v>178</v>
      </c>
      <c r="E48" s="42" t="s">
        <v>169</v>
      </c>
      <c r="F48" s="42" t="s">
        <v>72</v>
      </c>
      <c r="G48" s="42" t="s">
        <v>120</v>
      </c>
      <c r="H48" s="41">
        <v>2026</v>
      </c>
      <c r="I48" s="45" t="s">
        <v>135</v>
      </c>
      <c r="J48" s="45"/>
      <c r="K48" s="54">
        <v>1</v>
      </c>
      <c r="L48" s="47">
        <v>800</v>
      </c>
      <c r="M48" s="48">
        <f>+IF(E48="",0,VLOOKUP(E48,[1]Code!J:K,2,0))</f>
        <v>30</v>
      </c>
      <c r="N48" s="49">
        <f t="shared" si="0"/>
        <v>3.3333333333333333E-2</v>
      </c>
      <c r="O48" s="50">
        <f t="shared" si="1"/>
        <v>0</v>
      </c>
      <c r="P48" s="50">
        <f t="shared" si="2"/>
        <v>0</v>
      </c>
      <c r="Q48" s="50">
        <f t="shared" si="3"/>
        <v>0</v>
      </c>
      <c r="R48" s="50">
        <f t="shared" si="4"/>
        <v>0</v>
      </c>
      <c r="S48" s="50">
        <f t="shared" si="5"/>
        <v>0</v>
      </c>
      <c r="T48" s="50">
        <f t="shared" si="6"/>
        <v>0</v>
      </c>
      <c r="U48" s="50">
        <f t="shared" si="7"/>
        <v>0</v>
      </c>
      <c r="V48" s="50">
        <f t="shared" si="8"/>
        <v>0</v>
      </c>
      <c r="W48" s="50">
        <f t="shared" si="9"/>
        <v>0</v>
      </c>
      <c r="X48" s="50">
        <f t="shared" si="10"/>
        <v>0</v>
      </c>
      <c r="Y48" s="50">
        <f t="shared" si="11"/>
        <v>800</v>
      </c>
      <c r="Z48" s="50">
        <f t="shared" si="12"/>
        <v>26.667000000000002</v>
      </c>
      <c r="AA48" s="50">
        <f t="shared" si="13"/>
        <v>773.33299999999997</v>
      </c>
      <c r="AB48" s="50">
        <f t="shared" si="14"/>
        <v>26.667000000000002</v>
      </c>
      <c r="AC48" s="50">
        <f t="shared" si="15"/>
        <v>746.66599999999994</v>
      </c>
      <c r="AD48" s="50">
        <f t="shared" si="16"/>
        <v>26.667000000000002</v>
      </c>
      <c r="AE48" s="50">
        <f t="shared" si="17"/>
        <v>719.99899999999991</v>
      </c>
      <c r="AF48" s="50">
        <f t="shared" si="18"/>
        <v>26.667000000000002</v>
      </c>
      <c r="AG48" s="51" t="str">
        <f t="shared" si="19"/>
        <v xml:space="preserve">1 BUILDINGALL </v>
      </c>
      <c r="AH48" s="41"/>
      <c r="AI48" s="51" t="s">
        <v>121</v>
      </c>
      <c r="AJ48" s="51" t="s">
        <v>122</v>
      </c>
    </row>
    <row r="49" spans="1:36" ht="15.95" customHeight="1">
      <c r="A49" s="41" t="s">
        <v>179</v>
      </c>
      <c r="B49" s="42" t="s">
        <v>176</v>
      </c>
      <c r="C49" s="43" t="s">
        <v>167</v>
      </c>
      <c r="D49" s="52" t="s">
        <v>180</v>
      </c>
      <c r="E49" s="42" t="s">
        <v>169</v>
      </c>
      <c r="F49" s="42" t="s">
        <v>72</v>
      </c>
      <c r="G49" s="42" t="s">
        <v>120</v>
      </c>
      <c r="H49" s="41">
        <v>2026</v>
      </c>
      <c r="I49" s="45" t="s">
        <v>135</v>
      </c>
      <c r="J49" s="45"/>
      <c r="K49" s="54">
        <v>1</v>
      </c>
      <c r="L49" s="47">
        <v>50</v>
      </c>
      <c r="M49" s="48">
        <f>+IF(E49="",0,VLOOKUP(E49,[1]Code!J:K,2,0))</f>
        <v>30</v>
      </c>
      <c r="N49" s="49">
        <f t="shared" si="0"/>
        <v>3.3333333333333333E-2</v>
      </c>
      <c r="O49" s="50">
        <f t="shared" si="1"/>
        <v>0</v>
      </c>
      <c r="P49" s="50">
        <f t="shared" si="2"/>
        <v>0</v>
      </c>
      <c r="Q49" s="50">
        <f t="shared" si="3"/>
        <v>0</v>
      </c>
      <c r="R49" s="50">
        <f t="shared" si="4"/>
        <v>0</v>
      </c>
      <c r="S49" s="50">
        <f t="shared" si="5"/>
        <v>0</v>
      </c>
      <c r="T49" s="50">
        <f t="shared" si="6"/>
        <v>0</v>
      </c>
      <c r="U49" s="50">
        <f t="shared" si="7"/>
        <v>0</v>
      </c>
      <c r="V49" s="50">
        <f t="shared" si="8"/>
        <v>0</v>
      </c>
      <c r="W49" s="50">
        <f t="shared" si="9"/>
        <v>0</v>
      </c>
      <c r="X49" s="50">
        <f t="shared" si="10"/>
        <v>0</v>
      </c>
      <c r="Y49" s="50">
        <f t="shared" si="11"/>
        <v>50</v>
      </c>
      <c r="Z49" s="50">
        <f t="shared" si="12"/>
        <v>1.667</v>
      </c>
      <c r="AA49" s="50">
        <f t="shared" si="13"/>
        <v>48.332999999999998</v>
      </c>
      <c r="AB49" s="50">
        <f t="shared" si="14"/>
        <v>1.667</v>
      </c>
      <c r="AC49" s="50">
        <f t="shared" si="15"/>
        <v>46.665999999999997</v>
      </c>
      <c r="AD49" s="50">
        <f t="shared" si="16"/>
        <v>1.667</v>
      </c>
      <c r="AE49" s="50">
        <f t="shared" si="17"/>
        <v>44.998999999999995</v>
      </c>
      <c r="AF49" s="50">
        <f t="shared" si="18"/>
        <v>1.667</v>
      </c>
      <c r="AG49" s="51" t="str">
        <f t="shared" si="19"/>
        <v xml:space="preserve">1 BUILDINGALL </v>
      </c>
      <c r="AH49" s="41"/>
      <c r="AI49" s="51" t="s">
        <v>121</v>
      </c>
      <c r="AJ49" s="51" t="s">
        <v>122</v>
      </c>
    </row>
    <row r="50" spans="1:36" ht="15.95" customHeight="1">
      <c r="A50" s="41" t="s">
        <v>181</v>
      </c>
      <c r="B50" s="42" t="s">
        <v>95</v>
      </c>
      <c r="C50" s="43" t="s">
        <v>182</v>
      </c>
      <c r="D50" s="52" t="s">
        <v>183</v>
      </c>
      <c r="E50" s="42" t="s">
        <v>90</v>
      </c>
      <c r="F50" s="42" t="s">
        <v>72</v>
      </c>
      <c r="G50" s="42" t="s">
        <v>120</v>
      </c>
      <c r="H50" s="41">
        <v>2026</v>
      </c>
      <c r="I50" s="45" t="s">
        <v>135</v>
      </c>
      <c r="J50" s="45"/>
      <c r="K50" s="54">
        <v>1</v>
      </c>
      <c r="L50" s="47">
        <v>900</v>
      </c>
      <c r="M50" s="48">
        <f>+IF(E50="",0,VLOOKUP(E50,[1]Code!J:K,2,0))</f>
        <v>10</v>
      </c>
      <c r="N50" s="49">
        <f t="shared" si="0"/>
        <v>0.1</v>
      </c>
      <c r="O50" s="50">
        <f t="shared" si="1"/>
        <v>0</v>
      </c>
      <c r="P50" s="50">
        <f t="shared" si="2"/>
        <v>0</v>
      </c>
      <c r="Q50" s="50">
        <f t="shared" si="3"/>
        <v>0</v>
      </c>
      <c r="R50" s="50">
        <f t="shared" si="4"/>
        <v>0</v>
      </c>
      <c r="S50" s="50">
        <f t="shared" si="5"/>
        <v>0</v>
      </c>
      <c r="T50" s="50">
        <f t="shared" si="6"/>
        <v>0</v>
      </c>
      <c r="U50" s="50">
        <f t="shared" si="7"/>
        <v>0</v>
      </c>
      <c r="V50" s="50">
        <f t="shared" si="8"/>
        <v>0</v>
      </c>
      <c r="W50" s="50">
        <f t="shared" si="9"/>
        <v>0</v>
      </c>
      <c r="X50" s="50">
        <f t="shared" si="10"/>
        <v>0</v>
      </c>
      <c r="Y50" s="50">
        <f t="shared" si="11"/>
        <v>900</v>
      </c>
      <c r="Z50" s="50">
        <f t="shared" si="12"/>
        <v>90</v>
      </c>
      <c r="AA50" s="50">
        <f t="shared" si="13"/>
        <v>810</v>
      </c>
      <c r="AB50" s="50">
        <f t="shared" si="14"/>
        <v>90</v>
      </c>
      <c r="AC50" s="50">
        <f t="shared" si="15"/>
        <v>720</v>
      </c>
      <c r="AD50" s="50">
        <f t="shared" si="16"/>
        <v>90</v>
      </c>
      <c r="AE50" s="50">
        <f t="shared" si="17"/>
        <v>630</v>
      </c>
      <c r="AF50" s="50">
        <f t="shared" si="18"/>
        <v>90</v>
      </c>
      <c r="AG50" s="51" t="str">
        <f t="shared" si="19"/>
        <v xml:space="preserve">12 FURNITURE &amp; FIXTUREALL </v>
      </c>
      <c r="AH50" s="41"/>
      <c r="AI50" s="51" t="s">
        <v>121</v>
      </c>
      <c r="AJ50" s="51" t="s">
        <v>122</v>
      </c>
    </row>
    <row r="51" spans="1:36" ht="15.95" customHeight="1">
      <c r="A51" s="41" t="s">
        <v>184</v>
      </c>
      <c r="B51" s="42" t="s">
        <v>95</v>
      </c>
      <c r="C51" s="43" t="s">
        <v>185</v>
      </c>
      <c r="D51" s="52" t="s">
        <v>186</v>
      </c>
      <c r="E51" s="42" t="s">
        <v>90</v>
      </c>
      <c r="F51" s="42" t="s">
        <v>72</v>
      </c>
      <c r="G51" s="42" t="s">
        <v>120</v>
      </c>
      <c r="H51" s="41">
        <v>2026</v>
      </c>
      <c r="I51" s="45" t="s">
        <v>135</v>
      </c>
      <c r="J51" s="45"/>
      <c r="K51" s="54">
        <v>1</v>
      </c>
      <c r="L51" s="47">
        <v>900</v>
      </c>
      <c r="M51" s="48">
        <f>+IF(E51="",0,VLOOKUP(E51,[1]Code!J:K,2,0))</f>
        <v>10</v>
      </c>
      <c r="N51" s="49">
        <f t="shared" si="0"/>
        <v>0.1</v>
      </c>
      <c r="O51" s="50">
        <f t="shared" si="1"/>
        <v>0</v>
      </c>
      <c r="P51" s="50">
        <f t="shared" si="2"/>
        <v>0</v>
      </c>
      <c r="Q51" s="50">
        <f t="shared" si="3"/>
        <v>0</v>
      </c>
      <c r="R51" s="50">
        <f t="shared" si="4"/>
        <v>0</v>
      </c>
      <c r="S51" s="50">
        <f t="shared" si="5"/>
        <v>0</v>
      </c>
      <c r="T51" s="50">
        <f t="shared" si="6"/>
        <v>0</v>
      </c>
      <c r="U51" s="50">
        <f t="shared" si="7"/>
        <v>0</v>
      </c>
      <c r="V51" s="50">
        <f t="shared" si="8"/>
        <v>0</v>
      </c>
      <c r="W51" s="50">
        <f t="shared" si="9"/>
        <v>0</v>
      </c>
      <c r="X51" s="50">
        <f t="shared" si="10"/>
        <v>0</v>
      </c>
      <c r="Y51" s="50">
        <f t="shared" si="11"/>
        <v>900</v>
      </c>
      <c r="Z51" s="50">
        <f t="shared" si="12"/>
        <v>90</v>
      </c>
      <c r="AA51" s="50">
        <f t="shared" si="13"/>
        <v>810</v>
      </c>
      <c r="AB51" s="50">
        <f t="shared" si="14"/>
        <v>90</v>
      </c>
      <c r="AC51" s="50">
        <f t="shared" si="15"/>
        <v>720</v>
      </c>
      <c r="AD51" s="50">
        <f t="shared" si="16"/>
        <v>90</v>
      </c>
      <c r="AE51" s="50">
        <f t="shared" si="17"/>
        <v>630</v>
      </c>
      <c r="AF51" s="50">
        <f t="shared" si="18"/>
        <v>90</v>
      </c>
      <c r="AG51" s="51" t="str">
        <f t="shared" si="19"/>
        <v xml:space="preserve">12 FURNITURE &amp; FIXTUREALL </v>
      </c>
      <c r="AH51" s="41"/>
      <c r="AI51" s="51" t="s">
        <v>121</v>
      </c>
      <c r="AJ51" s="51" t="s">
        <v>122</v>
      </c>
    </row>
    <row r="52" spans="1:36" ht="15.95" customHeight="1">
      <c r="A52" s="41" t="s">
        <v>187</v>
      </c>
      <c r="B52" s="42" t="s">
        <v>95</v>
      </c>
      <c r="C52" s="43" t="s">
        <v>188</v>
      </c>
      <c r="D52" s="52" t="s">
        <v>189</v>
      </c>
      <c r="E52" s="42" t="s">
        <v>90</v>
      </c>
      <c r="F52" s="42" t="s">
        <v>72</v>
      </c>
      <c r="G52" s="42" t="s">
        <v>120</v>
      </c>
      <c r="H52" s="41">
        <v>2026</v>
      </c>
      <c r="I52" s="45" t="s">
        <v>135</v>
      </c>
      <c r="J52" s="45"/>
      <c r="K52" s="54">
        <v>1</v>
      </c>
      <c r="L52" s="47">
        <v>110</v>
      </c>
      <c r="M52" s="48">
        <f>+IF(E52="",0,VLOOKUP(E52,[1]Code!J:K,2,0))</f>
        <v>10</v>
      </c>
      <c r="N52" s="49">
        <f t="shared" si="0"/>
        <v>0.1</v>
      </c>
      <c r="O52" s="50">
        <f t="shared" si="1"/>
        <v>0</v>
      </c>
      <c r="P52" s="50">
        <f t="shared" si="2"/>
        <v>0</v>
      </c>
      <c r="Q52" s="50">
        <f t="shared" si="3"/>
        <v>0</v>
      </c>
      <c r="R52" s="50">
        <f t="shared" si="4"/>
        <v>0</v>
      </c>
      <c r="S52" s="50">
        <f t="shared" si="5"/>
        <v>0</v>
      </c>
      <c r="T52" s="50">
        <f t="shared" si="6"/>
        <v>0</v>
      </c>
      <c r="U52" s="50">
        <f t="shared" si="7"/>
        <v>0</v>
      </c>
      <c r="V52" s="50">
        <f t="shared" si="8"/>
        <v>0</v>
      </c>
      <c r="W52" s="50">
        <f t="shared" si="9"/>
        <v>0</v>
      </c>
      <c r="X52" s="50">
        <f t="shared" si="10"/>
        <v>0</v>
      </c>
      <c r="Y52" s="50">
        <f t="shared" si="11"/>
        <v>110</v>
      </c>
      <c r="Z52" s="50">
        <f t="shared" si="12"/>
        <v>11</v>
      </c>
      <c r="AA52" s="50">
        <f t="shared" si="13"/>
        <v>99</v>
      </c>
      <c r="AB52" s="50">
        <f t="shared" si="14"/>
        <v>11</v>
      </c>
      <c r="AC52" s="50">
        <f t="shared" si="15"/>
        <v>88</v>
      </c>
      <c r="AD52" s="50">
        <f t="shared" si="16"/>
        <v>11</v>
      </c>
      <c r="AE52" s="50">
        <f t="shared" si="17"/>
        <v>77</v>
      </c>
      <c r="AF52" s="50">
        <f t="shared" si="18"/>
        <v>11</v>
      </c>
      <c r="AG52" s="51" t="str">
        <f t="shared" si="19"/>
        <v xml:space="preserve">12 FURNITURE &amp; FIXTUREALL </v>
      </c>
      <c r="AH52" s="41"/>
      <c r="AI52" s="51" t="s">
        <v>121</v>
      </c>
      <c r="AJ52" s="51" t="s">
        <v>122</v>
      </c>
    </row>
    <row r="53" spans="1:36" ht="15.95" customHeight="1">
      <c r="A53" s="41" t="s">
        <v>190</v>
      </c>
      <c r="B53" s="42" t="s">
        <v>49</v>
      </c>
      <c r="C53" s="43" t="s">
        <v>191</v>
      </c>
      <c r="D53" s="52" t="s">
        <v>192</v>
      </c>
      <c r="E53" s="42" t="s">
        <v>119</v>
      </c>
      <c r="F53" s="42" t="s">
        <v>72</v>
      </c>
      <c r="G53" s="42" t="s">
        <v>120</v>
      </c>
      <c r="H53" s="41">
        <v>2026</v>
      </c>
      <c r="I53" s="45" t="s">
        <v>135</v>
      </c>
      <c r="J53" s="45"/>
      <c r="K53" s="54">
        <v>1</v>
      </c>
      <c r="L53" s="47">
        <v>180</v>
      </c>
      <c r="M53" s="48">
        <f>+IF(E53="",0,VLOOKUP(E53,[1]Code!J:K,2,0))</f>
        <v>8</v>
      </c>
      <c r="N53" s="49">
        <f t="shared" si="0"/>
        <v>0.125</v>
      </c>
      <c r="O53" s="50">
        <f t="shared" si="1"/>
        <v>0</v>
      </c>
      <c r="P53" s="50">
        <f t="shared" si="2"/>
        <v>0</v>
      </c>
      <c r="Q53" s="50">
        <f t="shared" si="3"/>
        <v>0</v>
      </c>
      <c r="R53" s="50">
        <f t="shared" si="4"/>
        <v>0</v>
      </c>
      <c r="S53" s="50">
        <f t="shared" si="5"/>
        <v>0</v>
      </c>
      <c r="T53" s="50">
        <f t="shared" si="6"/>
        <v>0</v>
      </c>
      <c r="U53" s="50">
        <f t="shared" si="7"/>
        <v>0</v>
      </c>
      <c r="V53" s="50">
        <f t="shared" si="8"/>
        <v>0</v>
      </c>
      <c r="W53" s="50">
        <f t="shared" si="9"/>
        <v>0</v>
      </c>
      <c r="X53" s="50">
        <f t="shared" si="10"/>
        <v>0</v>
      </c>
      <c r="Y53" s="50">
        <f t="shared" si="11"/>
        <v>180</v>
      </c>
      <c r="Z53" s="50">
        <f t="shared" si="12"/>
        <v>22.5</v>
      </c>
      <c r="AA53" s="50">
        <f t="shared" si="13"/>
        <v>157.5</v>
      </c>
      <c r="AB53" s="50">
        <f t="shared" si="14"/>
        <v>22.5</v>
      </c>
      <c r="AC53" s="50">
        <f t="shared" si="15"/>
        <v>135</v>
      </c>
      <c r="AD53" s="50">
        <f t="shared" si="16"/>
        <v>22.5</v>
      </c>
      <c r="AE53" s="50">
        <f t="shared" si="17"/>
        <v>112.5</v>
      </c>
      <c r="AF53" s="50">
        <f t="shared" si="18"/>
        <v>22.5</v>
      </c>
      <c r="AG53" s="51" t="str">
        <f t="shared" si="19"/>
        <v xml:space="preserve">5 MACHINERY,UTILITIESALL </v>
      </c>
      <c r="AH53" s="41"/>
      <c r="AI53" s="51" t="s">
        <v>121</v>
      </c>
      <c r="AJ53" s="51" t="s">
        <v>122</v>
      </c>
    </row>
    <row r="54" spans="1:36" ht="15.95" customHeight="1">
      <c r="A54" s="41" t="s">
        <v>193</v>
      </c>
      <c r="B54" s="42" t="s">
        <v>49</v>
      </c>
      <c r="C54" s="43" t="s">
        <v>194</v>
      </c>
      <c r="D54" s="52" t="s">
        <v>195</v>
      </c>
      <c r="E54" s="42" t="s">
        <v>119</v>
      </c>
      <c r="F54" s="42" t="s">
        <v>72</v>
      </c>
      <c r="G54" s="42" t="s">
        <v>120</v>
      </c>
      <c r="H54" s="41">
        <v>2026</v>
      </c>
      <c r="I54" s="45" t="s">
        <v>135</v>
      </c>
      <c r="J54" s="45"/>
      <c r="K54" s="54">
        <v>1</v>
      </c>
      <c r="L54" s="47">
        <v>300</v>
      </c>
      <c r="M54" s="48">
        <f>+IF(E54="",0,VLOOKUP(E54,[1]Code!J:K,2,0))</f>
        <v>8</v>
      </c>
      <c r="N54" s="49">
        <f t="shared" si="0"/>
        <v>0.125</v>
      </c>
      <c r="O54" s="50">
        <f t="shared" si="1"/>
        <v>0</v>
      </c>
      <c r="P54" s="50">
        <f t="shared" si="2"/>
        <v>0</v>
      </c>
      <c r="Q54" s="50">
        <f t="shared" si="3"/>
        <v>0</v>
      </c>
      <c r="R54" s="50">
        <f t="shared" si="4"/>
        <v>0</v>
      </c>
      <c r="S54" s="50">
        <f t="shared" si="5"/>
        <v>0</v>
      </c>
      <c r="T54" s="50">
        <f t="shared" si="6"/>
        <v>0</v>
      </c>
      <c r="U54" s="50">
        <f t="shared" si="7"/>
        <v>0</v>
      </c>
      <c r="V54" s="50">
        <f t="shared" si="8"/>
        <v>0</v>
      </c>
      <c r="W54" s="50">
        <f t="shared" si="9"/>
        <v>0</v>
      </c>
      <c r="X54" s="50">
        <f t="shared" si="10"/>
        <v>0</v>
      </c>
      <c r="Y54" s="50">
        <f t="shared" si="11"/>
        <v>300</v>
      </c>
      <c r="Z54" s="50">
        <f t="shared" si="12"/>
        <v>37.5</v>
      </c>
      <c r="AA54" s="50">
        <f t="shared" si="13"/>
        <v>262.5</v>
      </c>
      <c r="AB54" s="50">
        <f t="shared" si="14"/>
        <v>37.5</v>
      </c>
      <c r="AC54" s="50">
        <f t="shared" si="15"/>
        <v>225</v>
      </c>
      <c r="AD54" s="50">
        <f t="shared" si="16"/>
        <v>37.5</v>
      </c>
      <c r="AE54" s="50">
        <f t="shared" si="17"/>
        <v>187.5</v>
      </c>
      <c r="AF54" s="50">
        <f t="shared" si="18"/>
        <v>37.5</v>
      </c>
      <c r="AG54" s="51" t="str">
        <f t="shared" si="19"/>
        <v xml:space="preserve">5 MACHINERY,UTILITIESALL </v>
      </c>
      <c r="AH54" s="41"/>
      <c r="AI54" s="51" t="s">
        <v>121</v>
      </c>
      <c r="AJ54" s="51" t="s">
        <v>122</v>
      </c>
    </row>
    <row r="55" spans="1:36" ht="15.95" customHeight="1">
      <c r="A55" s="41" t="s">
        <v>196</v>
      </c>
      <c r="B55" s="42" t="s">
        <v>95</v>
      </c>
      <c r="C55" s="43" t="s">
        <v>197</v>
      </c>
      <c r="D55" s="52" t="s">
        <v>198</v>
      </c>
      <c r="E55" s="42" t="s">
        <v>169</v>
      </c>
      <c r="F55" s="42" t="s">
        <v>72</v>
      </c>
      <c r="G55" s="42" t="s">
        <v>120</v>
      </c>
      <c r="H55" s="41">
        <v>2026</v>
      </c>
      <c r="I55" s="45" t="s">
        <v>135</v>
      </c>
      <c r="J55" s="45"/>
      <c r="K55" s="54">
        <v>1</v>
      </c>
      <c r="L55" s="47">
        <v>2000</v>
      </c>
      <c r="M55" s="48">
        <f>+IF(E55="",0,VLOOKUP(E55,[1]Code!J:K,2,0))</f>
        <v>30</v>
      </c>
      <c r="N55" s="49">
        <f t="shared" si="0"/>
        <v>3.3333333333333333E-2</v>
      </c>
      <c r="O55" s="50">
        <f t="shared" si="1"/>
        <v>0</v>
      </c>
      <c r="P55" s="50">
        <f t="shared" si="2"/>
        <v>0</v>
      </c>
      <c r="Q55" s="50">
        <f t="shared" si="3"/>
        <v>0</v>
      </c>
      <c r="R55" s="50">
        <f t="shared" si="4"/>
        <v>0</v>
      </c>
      <c r="S55" s="50">
        <f t="shared" si="5"/>
        <v>0</v>
      </c>
      <c r="T55" s="50">
        <f t="shared" si="6"/>
        <v>0</v>
      </c>
      <c r="U55" s="50">
        <f t="shared" si="7"/>
        <v>0</v>
      </c>
      <c r="V55" s="50">
        <f t="shared" si="8"/>
        <v>0</v>
      </c>
      <c r="W55" s="50">
        <f t="shared" si="9"/>
        <v>0</v>
      </c>
      <c r="X55" s="50">
        <f t="shared" si="10"/>
        <v>0</v>
      </c>
      <c r="Y55" s="50">
        <f t="shared" si="11"/>
        <v>2000</v>
      </c>
      <c r="Z55" s="50">
        <f t="shared" si="12"/>
        <v>66.667000000000002</v>
      </c>
      <c r="AA55" s="50">
        <f t="shared" si="13"/>
        <v>1933.3330000000001</v>
      </c>
      <c r="AB55" s="50">
        <f t="shared" si="14"/>
        <v>66.667000000000002</v>
      </c>
      <c r="AC55" s="50">
        <f t="shared" si="15"/>
        <v>1866.6660000000002</v>
      </c>
      <c r="AD55" s="50">
        <f t="shared" si="16"/>
        <v>66.667000000000002</v>
      </c>
      <c r="AE55" s="50">
        <f t="shared" si="17"/>
        <v>1799.9990000000003</v>
      </c>
      <c r="AF55" s="50">
        <f t="shared" si="18"/>
        <v>66.667000000000002</v>
      </c>
      <c r="AG55" s="51" t="str">
        <f t="shared" si="19"/>
        <v xml:space="preserve">1 BUILDINGALL </v>
      </c>
      <c r="AH55" s="41"/>
      <c r="AI55" s="51" t="s">
        <v>121</v>
      </c>
      <c r="AJ55" s="51" t="s">
        <v>122</v>
      </c>
    </row>
    <row r="56" spans="1:36" ht="15.95" customHeight="1">
      <c r="A56" s="41" t="s">
        <v>199</v>
      </c>
      <c r="B56" s="42" t="s">
        <v>200</v>
      </c>
      <c r="C56" s="43" t="s">
        <v>201</v>
      </c>
      <c r="D56" s="52" t="s">
        <v>202</v>
      </c>
      <c r="E56" s="42" t="s">
        <v>103</v>
      </c>
      <c r="F56" s="42" t="s">
        <v>72</v>
      </c>
      <c r="G56" s="42" t="s">
        <v>120</v>
      </c>
      <c r="H56" s="41">
        <v>2026</v>
      </c>
      <c r="I56" s="45" t="s">
        <v>203</v>
      </c>
      <c r="J56" s="45"/>
      <c r="K56" s="54">
        <v>1</v>
      </c>
      <c r="L56" s="47">
        <v>1000</v>
      </c>
      <c r="M56" s="48">
        <f>+IF(E56="",0,VLOOKUP(E56,[1]Code!J:K,2,0))</f>
        <v>5</v>
      </c>
      <c r="N56" s="49">
        <f t="shared" si="0"/>
        <v>0.2</v>
      </c>
      <c r="O56" s="50">
        <f t="shared" si="1"/>
        <v>0</v>
      </c>
      <c r="P56" s="50">
        <f t="shared" si="2"/>
        <v>0</v>
      </c>
      <c r="Q56" s="50">
        <f t="shared" si="3"/>
        <v>0</v>
      </c>
      <c r="R56" s="50">
        <f t="shared" si="4"/>
        <v>0</v>
      </c>
      <c r="S56" s="50">
        <f t="shared" si="5"/>
        <v>0</v>
      </c>
      <c r="T56" s="50">
        <f t="shared" si="6"/>
        <v>0</v>
      </c>
      <c r="U56" s="50">
        <f t="shared" si="7"/>
        <v>0</v>
      </c>
      <c r="V56" s="50">
        <f t="shared" si="8"/>
        <v>0</v>
      </c>
      <c r="W56" s="50">
        <f t="shared" si="9"/>
        <v>0</v>
      </c>
      <c r="X56" s="50">
        <f t="shared" si="10"/>
        <v>0</v>
      </c>
      <c r="Y56" s="50">
        <f t="shared" si="11"/>
        <v>1000</v>
      </c>
      <c r="Z56" s="50">
        <f t="shared" si="12"/>
        <v>200</v>
      </c>
      <c r="AA56" s="50">
        <f t="shared" si="13"/>
        <v>800</v>
      </c>
      <c r="AB56" s="50">
        <f t="shared" si="14"/>
        <v>200</v>
      </c>
      <c r="AC56" s="50">
        <f t="shared" si="15"/>
        <v>600</v>
      </c>
      <c r="AD56" s="50">
        <f t="shared" si="16"/>
        <v>200</v>
      </c>
      <c r="AE56" s="50">
        <f t="shared" si="17"/>
        <v>400</v>
      </c>
      <c r="AF56" s="50">
        <f t="shared" si="18"/>
        <v>200</v>
      </c>
      <c r="AG56" s="51" t="str">
        <f t="shared" si="19"/>
        <v xml:space="preserve">9 TOOLSALL </v>
      </c>
      <c r="AH56" s="41"/>
      <c r="AI56" s="51" t="s">
        <v>121</v>
      </c>
      <c r="AJ56" s="51" t="s">
        <v>122</v>
      </c>
    </row>
    <row r="57" spans="1:36" ht="15.95" customHeight="1">
      <c r="A57" s="56" t="s">
        <v>204</v>
      </c>
      <c r="B57" s="57" t="s">
        <v>200</v>
      </c>
      <c r="C57" s="58" t="s">
        <v>205</v>
      </c>
      <c r="D57" s="59" t="s">
        <v>206</v>
      </c>
      <c r="E57" s="57" t="s">
        <v>103</v>
      </c>
      <c r="F57" s="57" t="s">
        <v>72</v>
      </c>
      <c r="G57" s="57" t="s">
        <v>207</v>
      </c>
      <c r="H57" s="60">
        <v>2026</v>
      </c>
      <c r="I57" s="61" t="s">
        <v>208</v>
      </c>
      <c r="J57" s="62"/>
      <c r="K57" s="63">
        <v>10</v>
      </c>
      <c r="L57" s="64">
        <v>6000</v>
      </c>
      <c r="M57" s="48">
        <f>+IF(E57="",0,VLOOKUP(E57,[1]Code!J:K,2,0))</f>
        <v>5</v>
      </c>
      <c r="N57" s="49">
        <f t="shared" si="0"/>
        <v>0.2</v>
      </c>
      <c r="O57" s="50">
        <f t="shared" si="1"/>
        <v>0</v>
      </c>
      <c r="P57" s="50">
        <f t="shared" si="2"/>
        <v>0</v>
      </c>
      <c r="Q57" s="50">
        <f t="shared" si="3"/>
        <v>0</v>
      </c>
      <c r="R57" s="50">
        <f t="shared" si="4"/>
        <v>0</v>
      </c>
      <c r="S57" s="50">
        <f t="shared" si="5"/>
        <v>0</v>
      </c>
      <c r="T57" s="50">
        <f t="shared" si="6"/>
        <v>0</v>
      </c>
      <c r="U57" s="50">
        <f t="shared" si="7"/>
        <v>0</v>
      </c>
      <c r="V57" s="50">
        <f t="shared" si="8"/>
        <v>0</v>
      </c>
      <c r="W57" s="50">
        <f t="shared" si="9"/>
        <v>0</v>
      </c>
      <c r="X57" s="50">
        <f t="shared" si="10"/>
        <v>0</v>
      </c>
      <c r="Y57" s="50">
        <f t="shared" si="11"/>
        <v>6000</v>
      </c>
      <c r="Z57" s="50">
        <f t="shared" si="12"/>
        <v>1200</v>
      </c>
      <c r="AA57" s="50">
        <f t="shared" si="13"/>
        <v>4800</v>
      </c>
      <c r="AB57" s="50">
        <f t="shared" si="14"/>
        <v>1200</v>
      </c>
      <c r="AC57" s="50">
        <f t="shared" si="15"/>
        <v>3600</v>
      </c>
      <c r="AD57" s="50">
        <f t="shared" si="16"/>
        <v>1200</v>
      </c>
      <c r="AE57" s="50">
        <f t="shared" si="17"/>
        <v>2400</v>
      </c>
      <c r="AF57" s="50">
        <f t="shared" si="18"/>
        <v>1200</v>
      </c>
      <c r="AG57" s="51" t="str">
        <f t="shared" si="19"/>
        <v xml:space="preserve">9 TOOLSALL </v>
      </c>
      <c r="AH57" s="41"/>
      <c r="AI57" s="51" t="s">
        <v>209</v>
      </c>
      <c r="AJ57" s="51" t="s">
        <v>210</v>
      </c>
    </row>
    <row r="58" spans="1:36" ht="15.95" customHeight="1">
      <c r="A58" s="57" t="s">
        <v>211</v>
      </c>
      <c r="B58" s="57" t="s">
        <v>212</v>
      </c>
      <c r="C58" s="58" t="s">
        <v>213</v>
      </c>
      <c r="D58" s="59" t="s">
        <v>214</v>
      </c>
      <c r="E58" s="57" t="s">
        <v>71</v>
      </c>
      <c r="F58" s="57" t="s">
        <v>72</v>
      </c>
      <c r="G58" s="57" t="s">
        <v>207</v>
      </c>
      <c r="H58" s="60">
        <v>2026</v>
      </c>
      <c r="I58" s="61" t="s">
        <v>215</v>
      </c>
      <c r="J58" s="65"/>
      <c r="K58" s="63">
        <v>1</v>
      </c>
      <c r="L58" s="64">
        <v>1200</v>
      </c>
      <c r="M58" s="48">
        <f>+IF(E58="",0,VLOOKUP(E58,[1]Code!J:K,2,0))</f>
        <v>6</v>
      </c>
      <c r="N58" s="49">
        <f t="shared" si="0"/>
        <v>0.16666666666666666</v>
      </c>
      <c r="O58" s="50">
        <f t="shared" si="1"/>
        <v>0</v>
      </c>
      <c r="P58" s="50">
        <f t="shared" si="2"/>
        <v>0</v>
      </c>
      <c r="Q58" s="50">
        <f t="shared" si="3"/>
        <v>0</v>
      </c>
      <c r="R58" s="50">
        <f t="shared" si="4"/>
        <v>0</v>
      </c>
      <c r="S58" s="50">
        <f t="shared" si="5"/>
        <v>0</v>
      </c>
      <c r="T58" s="50">
        <f t="shared" si="6"/>
        <v>0</v>
      </c>
      <c r="U58" s="50">
        <f t="shared" si="7"/>
        <v>0</v>
      </c>
      <c r="V58" s="50">
        <f t="shared" si="8"/>
        <v>0</v>
      </c>
      <c r="W58" s="50">
        <f t="shared" si="9"/>
        <v>0</v>
      </c>
      <c r="X58" s="50">
        <f t="shared" si="10"/>
        <v>0</v>
      </c>
      <c r="Y58" s="50">
        <f t="shared" si="11"/>
        <v>1200</v>
      </c>
      <c r="Z58" s="50">
        <f t="shared" si="12"/>
        <v>200</v>
      </c>
      <c r="AA58" s="50">
        <f t="shared" si="13"/>
        <v>1000</v>
      </c>
      <c r="AB58" s="50">
        <f t="shared" si="14"/>
        <v>200</v>
      </c>
      <c r="AC58" s="50">
        <f t="shared" si="15"/>
        <v>800</v>
      </c>
      <c r="AD58" s="50">
        <f t="shared" si="16"/>
        <v>200</v>
      </c>
      <c r="AE58" s="50">
        <f t="shared" si="17"/>
        <v>600</v>
      </c>
      <c r="AF58" s="50">
        <f t="shared" si="18"/>
        <v>200</v>
      </c>
      <c r="AG58" s="51" t="str">
        <f t="shared" si="19"/>
        <v xml:space="preserve">13 INTANGIBLE ASSETSALL </v>
      </c>
      <c r="AH58" s="41"/>
      <c r="AI58" s="51" t="s">
        <v>209</v>
      </c>
      <c r="AJ58" s="51" t="s">
        <v>210</v>
      </c>
    </row>
    <row r="59" spans="1:36" ht="15.95" customHeight="1">
      <c r="A59" s="56" t="s">
        <v>216</v>
      </c>
      <c r="B59" s="57" t="s">
        <v>217</v>
      </c>
      <c r="C59" s="58" t="s">
        <v>218</v>
      </c>
      <c r="D59" s="59" t="s">
        <v>219</v>
      </c>
      <c r="E59" s="57" t="s">
        <v>119</v>
      </c>
      <c r="F59" s="57" t="s">
        <v>72</v>
      </c>
      <c r="G59" s="57" t="s">
        <v>207</v>
      </c>
      <c r="H59" s="60">
        <v>2026</v>
      </c>
      <c r="I59" s="61" t="s">
        <v>220</v>
      </c>
      <c r="J59" s="62"/>
      <c r="K59" s="63">
        <v>1</v>
      </c>
      <c r="L59" s="64">
        <v>8000</v>
      </c>
      <c r="M59" s="48">
        <f>+IF(E59="",0,VLOOKUP(E59,[1]Code!J:K,2,0))</f>
        <v>8</v>
      </c>
      <c r="N59" s="49">
        <f t="shared" si="0"/>
        <v>0.125</v>
      </c>
      <c r="O59" s="50">
        <f t="shared" si="1"/>
        <v>0</v>
      </c>
      <c r="P59" s="50">
        <f t="shared" si="2"/>
        <v>0</v>
      </c>
      <c r="Q59" s="50">
        <f t="shared" si="3"/>
        <v>0</v>
      </c>
      <c r="R59" s="50">
        <f t="shared" si="4"/>
        <v>0</v>
      </c>
      <c r="S59" s="50">
        <f t="shared" si="5"/>
        <v>0</v>
      </c>
      <c r="T59" s="50">
        <f t="shared" si="6"/>
        <v>0</v>
      </c>
      <c r="U59" s="50">
        <f t="shared" si="7"/>
        <v>0</v>
      </c>
      <c r="V59" s="50">
        <f t="shared" si="8"/>
        <v>0</v>
      </c>
      <c r="W59" s="50">
        <f t="shared" si="9"/>
        <v>0</v>
      </c>
      <c r="X59" s="50">
        <f t="shared" si="10"/>
        <v>0</v>
      </c>
      <c r="Y59" s="50">
        <f t="shared" si="11"/>
        <v>8000</v>
      </c>
      <c r="Z59" s="50">
        <f t="shared" si="12"/>
        <v>1000</v>
      </c>
      <c r="AA59" s="50">
        <f t="shared" si="13"/>
        <v>7000</v>
      </c>
      <c r="AB59" s="50">
        <f t="shared" si="14"/>
        <v>1000</v>
      </c>
      <c r="AC59" s="50">
        <f t="shared" si="15"/>
        <v>6000</v>
      </c>
      <c r="AD59" s="50">
        <f t="shared" si="16"/>
        <v>1000</v>
      </c>
      <c r="AE59" s="50">
        <f t="shared" si="17"/>
        <v>5000</v>
      </c>
      <c r="AF59" s="50">
        <f t="shared" si="18"/>
        <v>1000</v>
      </c>
      <c r="AG59" s="51" t="str">
        <f t="shared" si="19"/>
        <v xml:space="preserve">5 MACHINERY,UTILITIESALL </v>
      </c>
      <c r="AH59" s="41"/>
      <c r="AI59" s="51" t="s">
        <v>209</v>
      </c>
      <c r="AJ59" s="51" t="s">
        <v>210</v>
      </c>
    </row>
    <row r="60" spans="1:36" ht="15.95" customHeight="1">
      <c r="A60" s="57" t="s">
        <v>221</v>
      </c>
      <c r="B60" s="57" t="s">
        <v>212</v>
      </c>
      <c r="C60" s="58" t="s">
        <v>222</v>
      </c>
      <c r="D60" s="59" t="s">
        <v>223</v>
      </c>
      <c r="E60" s="57" t="s">
        <v>71</v>
      </c>
      <c r="F60" s="57" t="s">
        <v>72</v>
      </c>
      <c r="G60" s="57" t="s">
        <v>207</v>
      </c>
      <c r="H60" s="60">
        <v>2026</v>
      </c>
      <c r="I60" s="61" t="s">
        <v>220</v>
      </c>
      <c r="J60" s="62"/>
      <c r="K60" s="63">
        <v>1</v>
      </c>
      <c r="L60" s="64">
        <v>4500</v>
      </c>
      <c r="M60" s="48">
        <f>+IF(E60="",0,VLOOKUP(E60,[1]Code!J:K,2,0))</f>
        <v>6</v>
      </c>
      <c r="N60" s="49">
        <f t="shared" si="0"/>
        <v>0.16666666666666666</v>
      </c>
      <c r="O60" s="50">
        <f t="shared" si="1"/>
        <v>0</v>
      </c>
      <c r="P60" s="50">
        <f t="shared" si="2"/>
        <v>0</v>
      </c>
      <c r="Q60" s="50">
        <f t="shared" si="3"/>
        <v>0</v>
      </c>
      <c r="R60" s="50">
        <f t="shared" si="4"/>
        <v>0</v>
      </c>
      <c r="S60" s="50">
        <f t="shared" si="5"/>
        <v>0</v>
      </c>
      <c r="T60" s="50">
        <f t="shared" si="6"/>
        <v>0</v>
      </c>
      <c r="U60" s="50">
        <f t="shared" si="7"/>
        <v>0</v>
      </c>
      <c r="V60" s="50">
        <f t="shared" si="8"/>
        <v>0</v>
      </c>
      <c r="W60" s="50">
        <f t="shared" si="9"/>
        <v>0</v>
      </c>
      <c r="X60" s="50">
        <f t="shared" si="10"/>
        <v>0</v>
      </c>
      <c r="Y60" s="50">
        <f t="shared" si="11"/>
        <v>4500</v>
      </c>
      <c r="Z60" s="50">
        <f t="shared" si="12"/>
        <v>750</v>
      </c>
      <c r="AA60" s="50">
        <f t="shared" si="13"/>
        <v>3750</v>
      </c>
      <c r="AB60" s="50">
        <f t="shared" si="14"/>
        <v>750</v>
      </c>
      <c r="AC60" s="50">
        <f t="shared" si="15"/>
        <v>3000</v>
      </c>
      <c r="AD60" s="50">
        <f t="shared" si="16"/>
        <v>750</v>
      </c>
      <c r="AE60" s="50">
        <f t="shared" si="17"/>
        <v>2250</v>
      </c>
      <c r="AF60" s="50">
        <f t="shared" si="18"/>
        <v>750</v>
      </c>
      <c r="AG60" s="51" t="str">
        <f t="shared" si="19"/>
        <v xml:space="preserve">13 INTANGIBLE ASSETSALL </v>
      </c>
      <c r="AH60" s="41"/>
      <c r="AI60" s="51" t="s">
        <v>209</v>
      </c>
      <c r="AJ60" s="51" t="s">
        <v>210</v>
      </c>
    </row>
    <row r="61" spans="1:36" ht="15.95" customHeight="1">
      <c r="A61" s="66" t="s">
        <v>224</v>
      </c>
      <c r="B61" s="67" t="s">
        <v>225</v>
      </c>
      <c r="C61" s="68" t="s">
        <v>226</v>
      </c>
      <c r="D61" s="69" t="s">
        <v>227</v>
      </c>
      <c r="E61" s="57" t="s">
        <v>103</v>
      </c>
      <c r="F61" s="57" t="s">
        <v>72</v>
      </c>
      <c r="G61" s="57" t="s">
        <v>207</v>
      </c>
      <c r="H61" s="60">
        <v>2026</v>
      </c>
      <c r="I61" s="61" t="s">
        <v>228</v>
      </c>
      <c r="J61" s="62"/>
      <c r="K61" s="63">
        <v>35</v>
      </c>
      <c r="L61" s="70">
        <v>5000</v>
      </c>
      <c r="M61" s="48">
        <f>+IF(E61="",0,VLOOKUP(E61,[1]Code!J:K,2,0))</f>
        <v>5</v>
      </c>
      <c r="N61" s="49">
        <f t="shared" si="0"/>
        <v>0.2</v>
      </c>
      <c r="O61" s="50">
        <f t="shared" si="1"/>
        <v>0</v>
      </c>
      <c r="P61" s="50">
        <f t="shared" si="2"/>
        <v>0</v>
      </c>
      <c r="Q61" s="50">
        <f t="shared" si="3"/>
        <v>0</v>
      </c>
      <c r="R61" s="50">
        <f t="shared" si="4"/>
        <v>0</v>
      </c>
      <c r="S61" s="50">
        <f t="shared" si="5"/>
        <v>0</v>
      </c>
      <c r="T61" s="50">
        <f t="shared" si="6"/>
        <v>0</v>
      </c>
      <c r="U61" s="50">
        <f t="shared" si="7"/>
        <v>0</v>
      </c>
      <c r="V61" s="50">
        <f t="shared" si="8"/>
        <v>0</v>
      </c>
      <c r="W61" s="50">
        <f t="shared" si="9"/>
        <v>0</v>
      </c>
      <c r="X61" s="50">
        <f t="shared" si="10"/>
        <v>0</v>
      </c>
      <c r="Y61" s="50">
        <f t="shared" si="11"/>
        <v>5000</v>
      </c>
      <c r="Z61" s="50">
        <f t="shared" si="12"/>
        <v>1000</v>
      </c>
      <c r="AA61" s="50">
        <f t="shared" si="13"/>
        <v>4000</v>
      </c>
      <c r="AB61" s="50">
        <f t="shared" si="14"/>
        <v>1000</v>
      </c>
      <c r="AC61" s="50">
        <f t="shared" si="15"/>
        <v>3000</v>
      </c>
      <c r="AD61" s="50">
        <f t="shared" si="16"/>
        <v>1000</v>
      </c>
      <c r="AE61" s="50">
        <f t="shared" si="17"/>
        <v>2000</v>
      </c>
      <c r="AF61" s="50">
        <f t="shared" si="18"/>
        <v>1000</v>
      </c>
      <c r="AG61" s="51" t="str">
        <f t="shared" si="19"/>
        <v xml:space="preserve">9 TOOLSALL </v>
      </c>
      <c r="AH61" s="41"/>
      <c r="AI61" s="51" t="s">
        <v>209</v>
      </c>
      <c r="AJ61" s="51" t="s">
        <v>210</v>
      </c>
    </row>
    <row r="62" spans="1:36" ht="15.95" customHeight="1">
      <c r="A62" s="66" t="s">
        <v>229</v>
      </c>
      <c r="B62" s="67" t="s">
        <v>225</v>
      </c>
      <c r="C62" s="68" t="s">
        <v>230</v>
      </c>
      <c r="D62" s="59" t="s">
        <v>231</v>
      </c>
      <c r="E62" s="57" t="s">
        <v>119</v>
      </c>
      <c r="F62" s="57" t="s">
        <v>72</v>
      </c>
      <c r="G62" s="57" t="s">
        <v>207</v>
      </c>
      <c r="H62" s="60">
        <v>2026</v>
      </c>
      <c r="I62" s="61" t="s">
        <v>228</v>
      </c>
      <c r="J62" s="62"/>
      <c r="K62" s="63">
        <v>1</v>
      </c>
      <c r="L62" s="70">
        <v>1000</v>
      </c>
      <c r="M62" s="48">
        <f>+IF(E62="",0,VLOOKUP(E62,[1]Code!J:K,2,0))</f>
        <v>8</v>
      </c>
      <c r="N62" s="49">
        <f t="shared" si="0"/>
        <v>0.125</v>
      </c>
      <c r="O62" s="50">
        <f t="shared" si="1"/>
        <v>0</v>
      </c>
      <c r="P62" s="50">
        <f t="shared" si="2"/>
        <v>0</v>
      </c>
      <c r="Q62" s="50">
        <f t="shared" si="3"/>
        <v>0</v>
      </c>
      <c r="R62" s="50">
        <f t="shared" si="4"/>
        <v>0</v>
      </c>
      <c r="S62" s="50">
        <f t="shared" si="5"/>
        <v>0</v>
      </c>
      <c r="T62" s="50">
        <f t="shared" si="6"/>
        <v>0</v>
      </c>
      <c r="U62" s="50">
        <f t="shared" si="7"/>
        <v>0</v>
      </c>
      <c r="V62" s="50">
        <f t="shared" si="8"/>
        <v>0</v>
      </c>
      <c r="W62" s="50">
        <f t="shared" si="9"/>
        <v>0</v>
      </c>
      <c r="X62" s="50">
        <f t="shared" si="10"/>
        <v>0</v>
      </c>
      <c r="Y62" s="50">
        <f t="shared" si="11"/>
        <v>1000</v>
      </c>
      <c r="Z62" s="50">
        <f t="shared" si="12"/>
        <v>125</v>
      </c>
      <c r="AA62" s="50">
        <f t="shared" si="13"/>
        <v>875</v>
      </c>
      <c r="AB62" s="50">
        <f t="shared" si="14"/>
        <v>125</v>
      </c>
      <c r="AC62" s="50">
        <f t="shared" si="15"/>
        <v>750</v>
      </c>
      <c r="AD62" s="50">
        <f t="shared" si="16"/>
        <v>125</v>
      </c>
      <c r="AE62" s="50">
        <f t="shared" si="17"/>
        <v>625</v>
      </c>
      <c r="AF62" s="50">
        <f t="shared" si="18"/>
        <v>125</v>
      </c>
      <c r="AG62" s="51" t="str">
        <f t="shared" si="19"/>
        <v xml:space="preserve">5 MACHINERY,UTILITIESALL </v>
      </c>
      <c r="AH62" s="41"/>
      <c r="AI62" s="51" t="s">
        <v>209</v>
      </c>
      <c r="AJ62" s="51" t="s">
        <v>210</v>
      </c>
    </row>
    <row r="63" spans="1:36" ht="15.95" customHeight="1">
      <c r="A63" s="66" t="s">
        <v>232</v>
      </c>
      <c r="B63" s="67" t="s">
        <v>225</v>
      </c>
      <c r="C63" s="68" t="s">
        <v>233</v>
      </c>
      <c r="D63" s="59" t="s">
        <v>234</v>
      </c>
      <c r="E63" s="57" t="s">
        <v>119</v>
      </c>
      <c r="F63" s="57" t="s">
        <v>72</v>
      </c>
      <c r="G63" s="57" t="s">
        <v>207</v>
      </c>
      <c r="H63" s="60">
        <v>2026</v>
      </c>
      <c r="I63" s="61" t="s">
        <v>228</v>
      </c>
      <c r="J63" s="62"/>
      <c r="K63" s="63">
        <v>1</v>
      </c>
      <c r="L63" s="70">
        <v>3500</v>
      </c>
      <c r="M63" s="48">
        <f>+IF(E63="",0,VLOOKUP(E63,[1]Code!J:K,2,0))</f>
        <v>8</v>
      </c>
      <c r="N63" s="49">
        <f t="shared" si="0"/>
        <v>0.125</v>
      </c>
      <c r="O63" s="50">
        <f t="shared" si="1"/>
        <v>0</v>
      </c>
      <c r="P63" s="50">
        <f t="shared" si="2"/>
        <v>0</v>
      </c>
      <c r="Q63" s="50">
        <f t="shared" si="3"/>
        <v>0</v>
      </c>
      <c r="R63" s="50">
        <f t="shared" si="4"/>
        <v>0</v>
      </c>
      <c r="S63" s="50">
        <f t="shared" si="5"/>
        <v>0</v>
      </c>
      <c r="T63" s="50">
        <f t="shared" si="6"/>
        <v>0</v>
      </c>
      <c r="U63" s="50">
        <f t="shared" si="7"/>
        <v>0</v>
      </c>
      <c r="V63" s="50">
        <f t="shared" si="8"/>
        <v>0</v>
      </c>
      <c r="W63" s="50">
        <f t="shared" si="9"/>
        <v>0</v>
      </c>
      <c r="X63" s="50">
        <f t="shared" si="10"/>
        <v>0</v>
      </c>
      <c r="Y63" s="50">
        <f t="shared" si="11"/>
        <v>3500</v>
      </c>
      <c r="Z63" s="50">
        <f t="shared" si="12"/>
        <v>437.5</v>
      </c>
      <c r="AA63" s="50">
        <f t="shared" si="13"/>
        <v>3062.5</v>
      </c>
      <c r="AB63" s="50">
        <f t="shared" si="14"/>
        <v>437.5</v>
      </c>
      <c r="AC63" s="50">
        <f t="shared" si="15"/>
        <v>2625</v>
      </c>
      <c r="AD63" s="50">
        <f t="shared" si="16"/>
        <v>437.5</v>
      </c>
      <c r="AE63" s="50">
        <f t="shared" si="17"/>
        <v>2187.5</v>
      </c>
      <c r="AF63" s="50">
        <f t="shared" si="18"/>
        <v>437.5</v>
      </c>
      <c r="AG63" s="51" t="str">
        <f t="shared" si="19"/>
        <v xml:space="preserve">5 MACHINERY,UTILITIESALL </v>
      </c>
      <c r="AH63" s="41"/>
      <c r="AI63" s="51" t="s">
        <v>209</v>
      </c>
      <c r="AJ63" s="51" t="s">
        <v>210</v>
      </c>
    </row>
    <row r="64" spans="1:36" ht="15.95" customHeight="1">
      <c r="A64" s="66" t="s">
        <v>235</v>
      </c>
      <c r="B64" s="67" t="s">
        <v>225</v>
      </c>
      <c r="C64" s="68" t="s">
        <v>236</v>
      </c>
      <c r="D64" s="59" t="s">
        <v>237</v>
      </c>
      <c r="E64" s="57" t="s">
        <v>119</v>
      </c>
      <c r="F64" s="57" t="s">
        <v>72</v>
      </c>
      <c r="G64" s="57" t="s">
        <v>207</v>
      </c>
      <c r="H64" s="60">
        <v>2026</v>
      </c>
      <c r="I64" s="61" t="s">
        <v>228</v>
      </c>
      <c r="J64" s="62"/>
      <c r="K64" s="63">
        <v>1</v>
      </c>
      <c r="L64" s="70">
        <v>500</v>
      </c>
      <c r="M64" s="48">
        <f>+IF(E64="",0,VLOOKUP(E64,[1]Code!J:K,2,0))</f>
        <v>8</v>
      </c>
      <c r="N64" s="49">
        <f t="shared" si="0"/>
        <v>0.125</v>
      </c>
      <c r="O64" s="50">
        <f t="shared" si="1"/>
        <v>0</v>
      </c>
      <c r="P64" s="50">
        <f t="shared" si="2"/>
        <v>0</v>
      </c>
      <c r="Q64" s="50">
        <f t="shared" si="3"/>
        <v>0</v>
      </c>
      <c r="R64" s="50">
        <f t="shared" si="4"/>
        <v>0</v>
      </c>
      <c r="S64" s="50">
        <f t="shared" si="5"/>
        <v>0</v>
      </c>
      <c r="T64" s="50">
        <f t="shared" si="6"/>
        <v>0</v>
      </c>
      <c r="U64" s="50">
        <f t="shared" si="7"/>
        <v>0</v>
      </c>
      <c r="V64" s="50">
        <f t="shared" si="8"/>
        <v>0</v>
      </c>
      <c r="W64" s="50">
        <f t="shared" si="9"/>
        <v>0</v>
      </c>
      <c r="X64" s="50">
        <f t="shared" si="10"/>
        <v>0</v>
      </c>
      <c r="Y64" s="50">
        <f t="shared" si="11"/>
        <v>500</v>
      </c>
      <c r="Z64" s="50">
        <f t="shared" si="12"/>
        <v>62.5</v>
      </c>
      <c r="AA64" s="50">
        <f t="shared" si="13"/>
        <v>437.5</v>
      </c>
      <c r="AB64" s="50">
        <f t="shared" si="14"/>
        <v>62.5</v>
      </c>
      <c r="AC64" s="50">
        <f t="shared" si="15"/>
        <v>375</v>
      </c>
      <c r="AD64" s="50">
        <f t="shared" si="16"/>
        <v>62.5</v>
      </c>
      <c r="AE64" s="50">
        <f t="shared" si="17"/>
        <v>312.5</v>
      </c>
      <c r="AF64" s="50">
        <f t="shared" si="18"/>
        <v>62.5</v>
      </c>
      <c r="AG64" s="51" t="str">
        <f t="shared" si="19"/>
        <v xml:space="preserve">5 MACHINERY,UTILITIESALL </v>
      </c>
      <c r="AH64" s="41"/>
      <c r="AI64" s="51" t="s">
        <v>209</v>
      </c>
      <c r="AJ64" s="51" t="s">
        <v>210</v>
      </c>
    </row>
    <row r="65" spans="1:36" ht="15.95" customHeight="1">
      <c r="A65" s="66" t="s">
        <v>238</v>
      </c>
      <c r="B65" s="67" t="s">
        <v>225</v>
      </c>
      <c r="C65" s="68" t="s">
        <v>239</v>
      </c>
      <c r="D65" s="59" t="s">
        <v>240</v>
      </c>
      <c r="E65" s="57" t="s">
        <v>119</v>
      </c>
      <c r="F65" s="57" t="s">
        <v>72</v>
      </c>
      <c r="G65" s="57" t="s">
        <v>207</v>
      </c>
      <c r="H65" s="60">
        <v>2026</v>
      </c>
      <c r="I65" s="61" t="s">
        <v>228</v>
      </c>
      <c r="J65" s="62"/>
      <c r="K65" s="63">
        <v>1</v>
      </c>
      <c r="L65" s="70">
        <v>500</v>
      </c>
      <c r="M65" s="48">
        <f>+IF(E65="",0,VLOOKUP(E65,[1]Code!J:K,2,0))</f>
        <v>8</v>
      </c>
      <c r="N65" s="49">
        <f t="shared" si="0"/>
        <v>0.125</v>
      </c>
      <c r="O65" s="50">
        <f t="shared" si="1"/>
        <v>0</v>
      </c>
      <c r="P65" s="50">
        <f t="shared" si="2"/>
        <v>0</v>
      </c>
      <c r="Q65" s="50">
        <f t="shared" si="3"/>
        <v>0</v>
      </c>
      <c r="R65" s="50">
        <f t="shared" si="4"/>
        <v>0</v>
      </c>
      <c r="S65" s="50">
        <f t="shared" si="5"/>
        <v>0</v>
      </c>
      <c r="T65" s="50">
        <f t="shared" si="6"/>
        <v>0</v>
      </c>
      <c r="U65" s="50">
        <f t="shared" si="7"/>
        <v>0</v>
      </c>
      <c r="V65" s="50">
        <f t="shared" si="8"/>
        <v>0</v>
      </c>
      <c r="W65" s="50">
        <f t="shared" si="9"/>
        <v>0</v>
      </c>
      <c r="X65" s="50">
        <f t="shared" si="10"/>
        <v>0</v>
      </c>
      <c r="Y65" s="50">
        <f t="shared" si="11"/>
        <v>500</v>
      </c>
      <c r="Z65" s="50">
        <f t="shared" si="12"/>
        <v>62.5</v>
      </c>
      <c r="AA65" s="50">
        <f t="shared" si="13"/>
        <v>437.5</v>
      </c>
      <c r="AB65" s="50">
        <f t="shared" si="14"/>
        <v>62.5</v>
      </c>
      <c r="AC65" s="50">
        <f t="shared" si="15"/>
        <v>375</v>
      </c>
      <c r="AD65" s="50">
        <f t="shared" si="16"/>
        <v>62.5</v>
      </c>
      <c r="AE65" s="50">
        <f t="shared" si="17"/>
        <v>312.5</v>
      </c>
      <c r="AF65" s="50">
        <f t="shared" si="18"/>
        <v>62.5</v>
      </c>
      <c r="AG65" s="51" t="str">
        <f t="shared" si="19"/>
        <v xml:space="preserve">5 MACHINERY,UTILITIESALL </v>
      </c>
      <c r="AH65" s="41"/>
      <c r="AI65" s="51" t="s">
        <v>209</v>
      </c>
      <c r="AJ65" s="51" t="s">
        <v>210</v>
      </c>
    </row>
    <row r="66" spans="1:36" ht="15.95" customHeight="1">
      <c r="A66" s="66" t="s">
        <v>241</v>
      </c>
      <c r="B66" s="67" t="s">
        <v>225</v>
      </c>
      <c r="C66" s="68" t="s">
        <v>242</v>
      </c>
      <c r="D66" s="59" t="s">
        <v>243</v>
      </c>
      <c r="E66" s="57" t="s">
        <v>119</v>
      </c>
      <c r="F66" s="57" t="s">
        <v>72</v>
      </c>
      <c r="G66" s="57" t="s">
        <v>207</v>
      </c>
      <c r="H66" s="60">
        <v>2026</v>
      </c>
      <c r="I66" s="61" t="s">
        <v>228</v>
      </c>
      <c r="J66" s="62"/>
      <c r="K66" s="63">
        <v>1</v>
      </c>
      <c r="L66" s="70">
        <v>2500</v>
      </c>
      <c r="M66" s="48">
        <f>+IF(E66="",0,VLOOKUP(E66,[1]Code!J:K,2,0))</f>
        <v>8</v>
      </c>
      <c r="N66" s="49">
        <f t="shared" si="0"/>
        <v>0.125</v>
      </c>
      <c r="O66" s="50">
        <f t="shared" si="1"/>
        <v>0</v>
      </c>
      <c r="P66" s="50">
        <f t="shared" si="2"/>
        <v>0</v>
      </c>
      <c r="Q66" s="50">
        <f t="shared" si="3"/>
        <v>0</v>
      </c>
      <c r="R66" s="50">
        <f t="shared" si="4"/>
        <v>0</v>
      </c>
      <c r="S66" s="50">
        <f t="shared" si="5"/>
        <v>0</v>
      </c>
      <c r="T66" s="50">
        <f t="shared" si="6"/>
        <v>0</v>
      </c>
      <c r="U66" s="50">
        <f t="shared" si="7"/>
        <v>0</v>
      </c>
      <c r="V66" s="50">
        <f t="shared" si="8"/>
        <v>0</v>
      </c>
      <c r="W66" s="50">
        <f t="shared" si="9"/>
        <v>0</v>
      </c>
      <c r="X66" s="50">
        <f t="shared" si="10"/>
        <v>0</v>
      </c>
      <c r="Y66" s="50">
        <f t="shared" si="11"/>
        <v>2500</v>
      </c>
      <c r="Z66" s="50">
        <f t="shared" si="12"/>
        <v>312.5</v>
      </c>
      <c r="AA66" s="50">
        <f t="shared" si="13"/>
        <v>2187.5</v>
      </c>
      <c r="AB66" s="50">
        <f t="shared" si="14"/>
        <v>312.5</v>
      </c>
      <c r="AC66" s="50">
        <f t="shared" si="15"/>
        <v>1875</v>
      </c>
      <c r="AD66" s="50">
        <f t="shared" si="16"/>
        <v>312.5</v>
      </c>
      <c r="AE66" s="50">
        <f t="shared" si="17"/>
        <v>1562.5</v>
      </c>
      <c r="AF66" s="50">
        <f t="shared" si="18"/>
        <v>312.5</v>
      </c>
      <c r="AG66" s="51" t="str">
        <f t="shared" si="19"/>
        <v xml:space="preserve">5 MACHINERY,UTILITIESALL </v>
      </c>
      <c r="AH66" s="41"/>
      <c r="AI66" s="51" t="s">
        <v>209</v>
      </c>
      <c r="AJ66" s="51" t="s">
        <v>210</v>
      </c>
    </row>
    <row r="67" spans="1:36" ht="15.95" customHeight="1">
      <c r="A67" s="66" t="s">
        <v>244</v>
      </c>
      <c r="B67" s="67" t="s">
        <v>225</v>
      </c>
      <c r="C67" s="68" t="s">
        <v>245</v>
      </c>
      <c r="D67" s="59" t="s">
        <v>243</v>
      </c>
      <c r="E67" s="57" t="s">
        <v>119</v>
      </c>
      <c r="F67" s="57" t="s">
        <v>72</v>
      </c>
      <c r="G67" s="57" t="s">
        <v>207</v>
      </c>
      <c r="H67" s="60">
        <v>2026</v>
      </c>
      <c r="I67" s="61" t="s">
        <v>228</v>
      </c>
      <c r="J67" s="62"/>
      <c r="K67" s="63">
        <v>1</v>
      </c>
      <c r="L67" s="70">
        <v>1200</v>
      </c>
      <c r="M67" s="48">
        <f>+IF(E67="",0,VLOOKUP(E67,[1]Code!J:K,2,0))</f>
        <v>8</v>
      </c>
      <c r="N67" s="49">
        <f t="shared" si="0"/>
        <v>0.125</v>
      </c>
      <c r="O67" s="50">
        <f t="shared" si="1"/>
        <v>0</v>
      </c>
      <c r="P67" s="50">
        <f t="shared" si="2"/>
        <v>0</v>
      </c>
      <c r="Q67" s="50">
        <f t="shared" si="3"/>
        <v>0</v>
      </c>
      <c r="R67" s="50">
        <f t="shared" si="4"/>
        <v>0</v>
      </c>
      <c r="S67" s="50">
        <f t="shared" si="5"/>
        <v>0</v>
      </c>
      <c r="T67" s="50">
        <f t="shared" si="6"/>
        <v>0</v>
      </c>
      <c r="U67" s="50">
        <f t="shared" si="7"/>
        <v>0</v>
      </c>
      <c r="V67" s="50">
        <f t="shared" si="8"/>
        <v>0</v>
      </c>
      <c r="W67" s="50">
        <f t="shared" si="9"/>
        <v>0</v>
      </c>
      <c r="X67" s="50">
        <f t="shared" si="10"/>
        <v>0</v>
      </c>
      <c r="Y67" s="50">
        <f t="shared" si="11"/>
        <v>1200</v>
      </c>
      <c r="Z67" s="50">
        <f t="shared" si="12"/>
        <v>150</v>
      </c>
      <c r="AA67" s="50">
        <f t="shared" si="13"/>
        <v>1050</v>
      </c>
      <c r="AB67" s="50">
        <f t="shared" si="14"/>
        <v>150</v>
      </c>
      <c r="AC67" s="50">
        <f t="shared" si="15"/>
        <v>900</v>
      </c>
      <c r="AD67" s="50">
        <f t="shared" si="16"/>
        <v>150</v>
      </c>
      <c r="AE67" s="50">
        <f t="shared" si="17"/>
        <v>750</v>
      </c>
      <c r="AF67" s="50">
        <f t="shared" si="18"/>
        <v>150</v>
      </c>
      <c r="AG67" s="51" t="str">
        <f t="shared" si="19"/>
        <v xml:space="preserve">5 MACHINERY,UTILITIESALL </v>
      </c>
      <c r="AH67" s="41"/>
      <c r="AI67" s="51" t="s">
        <v>209</v>
      </c>
      <c r="AJ67" s="51" t="s">
        <v>210</v>
      </c>
    </row>
    <row r="68" spans="1:36" ht="15.95" customHeight="1">
      <c r="A68" s="66" t="s">
        <v>246</v>
      </c>
      <c r="B68" s="67" t="s">
        <v>225</v>
      </c>
      <c r="C68" s="68" t="s">
        <v>247</v>
      </c>
      <c r="D68" s="59" t="s">
        <v>243</v>
      </c>
      <c r="E68" s="57" t="s">
        <v>119</v>
      </c>
      <c r="F68" s="57" t="s">
        <v>72</v>
      </c>
      <c r="G68" s="57" t="s">
        <v>207</v>
      </c>
      <c r="H68" s="60">
        <v>2026</v>
      </c>
      <c r="I68" s="61" t="s">
        <v>228</v>
      </c>
      <c r="J68" s="62"/>
      <c r="K68" s="63">
        <v>1</v>
      </c>
      <c r="L68" s="70">
        <v>1000</v>
      </c>
      <c r="M68" s="48">
        <f>+IF(E68="",0,VLOOKUP(E68,[1]Code!J:K,2,0))</f>
        <v>8</v>
      </c>
      <c r="N68" s="49">
        <f t="shared" si="0"/>
        <v>0.125</v>
      </c>
      <c r="O68" s="50">
        <f t="shared" si="1"/>
        <v>0</v>
      </c>
      <c r="P68" s="50">
        <f t="shared" si="2"/>
        <v>0</v>
      </c>
      <c r="Q68" s="50">
        <f t="shared" si="3"/>
        <v>0</v>
      </c>
      <c r="R68" s="50">
        <f t="shared" si="4"/>
        <v>0</v>
      </c>
      <c r="S68" s="50">
        <f t="shared" si="5"/>
        <v>0</v>
      </c>
      <c r="T68" s="50">
        <f t="shared" si="6"/>
        <v>0</v>
      </c>
      <c r="U68" s="50">
        <f t="shared" si="7"/>
        <v>0</v>
      </c>
      <c r="V68" s="50">
        <f t="shared" si="8"/>
        <v>0</v>
      </c>
      <c r="W68" s="50">
        <f t="shared" si="9"/>
        <v>0</v>
      </c>
      <c r="X68" s="50">
        <f t="shared" si="10"/>
        <v>0</v>
      </c>
      <c r="Y68" s="50">
        <f t="shared" si="11"/>
        <v>1000</v>
      </c>
      <c r="Z68" s="50">
        <f t="shared" si="12"/>
        <v>125</v>
      </c>
      <c r="AA68" s="50">
        <f t="shared" si="13"/>
        <v>875</v>
      </c>
      <c r="AB68" s="50">
        <f t="shared" si="14"/>
        <v>125</v>
      </c>
      <c r="AC68" s="50">
        <f t="shared" si="15"/>
        <v>750</v>
      </c>
      <c r="AD68" s="50">
        <f t="shared" si="16"/>
        <v>125</v>
      </c>
      <c r="AE68" s="50">
        <f t="shared" si="17"/>
        <v>625</v>
      </c>
      <c r="AF68" s="50">
        <f t="shared" si="18"/>
        <v>125</v>
      </c>
      <c r="AG68" s="51" t="str">
        <f t="shared" si="19"/>
        <v xml:space="preserve">5 MACHINERY,UTILITIESALL </v>
      </c>
      <c r="AH68" s="41"/>
      <c r="AI68" s="51" t="s">
        <v>209</v>
      </c>
      <c r="AJ68" s="51" t="s">
        <v>210</v>
      </c>
    </row>
    <row r="69" spans="1:36" ht="15.95" customHeight="1">
      <c r="A69" s="66" t="s">
        <v>248</v>
      </c>
      <c r="B69" s="67" t="s">
        <v>225</v>
      </c>
      <c r="C69" s="68" t="s">
        <v>249</v>
      </c>
      <c r="D69" s="59" t="s">
        <v>250</v>
      </c>
      <c r="E69" s="57" t="s">
        <v>119</v>
      </c>
      <c r="F69" s="57" t="s">
        <v>72</v>
      </c>
      <c r="G69" s="57" t="s">
        <v>207</v>
      </c>
      <c r="H69" s="60">
        <v>2026</v>
      </c>
      <c r="I69" s="61" t="s">
        <v>228</v>
      </c>
      <c r="J69" s="62"/>
      <c r="K69" s="63">
        <v>1</v>
      </c>
      <c r="L69" s="70">
        <v>500</v>
      </c>
      <c r="M69" s="48">
        <f>+IF(E69="",0,VLOOKUP(E69,[1]Code!J:K,2,0))</f>
        <v>8</v>
      </c>
      <c r="N69" s="49">
        <f t="shared" si="0"/>
        <v>0.125</v>
      </c>
      <c r="O69" s="50">
        <f t="shared" si="1"/>
        <v>0</v>
      </c>
      <c r="P69" s="50">
        <f t="shared" si="2"/>
        <v>0</v>
      </c>
      <c r="Q69" s="50">
        <f t="shared" si="3"/>
        <v>0</v>
      </c>
      <c r="R69" s="50">
        <f t="shared" si="4"/>
        <v>0</v>
      </c>
      <c r="S69" s="50">
        <f t="shared" si="5"/>
        <v>0</v>
      </c>
      <c r="T69" s="50">
        <f t="shared" si="6"/>
        <v>0</v>
      </c>
      <c r="U69" s="50">
        <f t="shared" si="7"/>
        <v>0</v>
      </c>
      <c r="V69" s="50">
        <f t="shared" si="8"/>
        <v>0</v>
      </c>
      <c r="W69" s="50">
        <f t="shared" si="9"/>
        <v>0</v>
      </c>
      <c r="X69" s="50">
        <f t="shared" si="10"/>
        <v>0</v>
      </c>
      <c r="Y69" s="50">
        <f t="shared" si="11"/>
        <v>500</v>
      </c>
      <c r="Z69" s="50">
        <f t="shared" si="12"/>
        <v>62.5</v>
      </c>
      <c r="AA69" s="50">
        <f t="shared" si="13"/>
        <v>437.5</v>
      </c>
      <c r="AB69" s="50">
        <f t="shared" si="14"/>
        <v>62.5</v>
      </c>
      <c r="AC69" s="50">
        <f t="shared" si="15"/>
        <v>375</v>
      </c>
      <c r="AD69" s="50">
        <f t="shared" si="16"/>
        <v>62.5</v>
      </c>
      <c r="AE69" s="50">
        <f t="shared" si="17"/>
        <v>312.5</v>
      </c>
      <c r="AF69" s="50">
        <f t="shared" si="18"/>
        <v>62.5</v>
      </c>
      <c r="AG69" s="51" t="str">
        <f t="shared" si="19"/>
        <v xml:space="preserve">5 MACHINERY,UTILITIESALL </v>
      </c>
      <c r="AH69" s="41"/>
      <c r="AI69" s="51" t="s">
        <v>209</v>
      </c>
      <c r="AJ69" s="51" t="s">
        <v>210</v>
      </c>
    </row>
    <row r="70" spans="1:36" ht="15.95" customHeight="1">
      <c r="A70" s="66" t="s">
        <v>251</v>
      </c>
      <c r="B70" s="67" t="s">
        <v>225</v>
      </c>
      <c r="C70" s="68" t="s">
        <v>252</v>
      </c>
      <c r="D70" s="59" t="s">
        <v>253</v>
      </c>
      <c r="E70" s="57" t="s">
        <v>119</v>
      </c>
      <c r="F70" s="57" t="s">
        <v>72</v>
      </c>
      <c r="G70" s="57" t="s">
        <v>207</v>
      </c>
      <c r="H70" s="60">
        <v>2026</v>
      </c>
      <c r="I70" s="61" t="s">
        <v>228</v>
      </c>
      <c r="J70" s="62"/>
      <c r="K70" s="63">
        <v>1</v>
      </c>
      <c r="L70" s="70">
        <v>300</v>
      </c>
      <c r="M70" s="48">
        <f>+IF(E70="",0,VLOOKUP(E70,[1]Code!J:K,2,0))</f>
        <v>8</v>
      </c>
      <c r="N70" s="49">
        <f t="shared" si="0"/>
        <v>0.125</v>
      </c>
      <c r="O70" s="50">
        <f t="shared" si="1"/>
        <v>0</v>
      </c>
      <c r="P70" s="50">
        <f t="shared" si="2"/>
        <v>0</v>
      </c>
      <c r="Q70" s="50">
        <f t="shared" si="3"/>
        <v>0</v>
      </c>
      <c r="R70" s="50">
        <f t="shared" si="4"/>
        <v>0</v>
      </c>
      <c r="S70" s="50">
        <f t="shared" si="5"/>
        <v>0</v>
      </c>
      <c r="T70" s="50">
        <f t="shared" si="6"/>
        <v>0</v>
      </c>
      <c r="U70" s="50">
        <f t="shared" si="7"/>
        <v>0</v>
      </c>
      <c r="V70" s="50">
        <f t="shared" si="8"/>
        <v>0</v>
      </c>
      <c r="W70" s="50">
        <f t="shared" si="9"/>
        <v>0</v>
      </c>
      <c r="X70" s="50">
        <f t="shared" si="10"/>
        <v>0</v>
      </c>
      <c r="Y70" s="50">
        <f t="shared" si="11"/>
        <v>300</v>
      </c>
      <c r="Z70" s="50">
        <f t="shared" si="12"/>
        <v>37.5</v>
      </c>
      <c r="AA70" s="50">
        <f t="shared" si="13"/>
        <v>262.5</v>
      </c>
      <c r="AB70" s="50">
        <f t="shared" si="14"/>
        <v>37.5</v>
      </c>
      <c r="AC70" s="50">
        <f t="shared" si="15"/>
        <v>225</v>
      </c>
      <c r="AD70" s="50">
        <f t="shared" si="16"/>
        <v>37.5</v>
      </c>
      <c r="AE70" s="50">
        <f t="shared" si="17"/>
        <v>187.5</v>
      </c>
      <c r="AF70" s="50">
        <f t="shared" si="18"/>
        <v>37.5</v>
      </c>
      <c r="AG70" s="51" t="str">
        <f t="shared" si="19"/>
        <v xml:space="preserve">5 MACHINERY,UTILITIESALL </v>
      </c>
      <c r="AH70" s="41"/>
      <c r="AI70" s="51" t="s">
        <v>209</v>
      </c>
      <c r="AJ70" s="51" t="s">
        <v>210</v>
      </c>
    </row>
    <row r="71" spans="1:36" ht="15.95" customHeight="1">
      <c r="A71" s="66" t="s">
        <v>254</v>
      </c>
      <c r="B71" s="67" t="s">
        <v>225</v>
      </c>
      <c r="C71" s="68" t="s">
        <v>255</v>
      </c>
      <c r="D71" s="59" t="s">
        <v>256</v>
      </c>
      <c r="E71" s="57" t="s">
        <v>119</v>
      </c>
      <c r="F71" s="57" t="s">
        <v>72</v>
      </c>
      <c r="G71" s="57" t="s">
        <v>207</v>
      </c>
      <c r="H71" s="60">
        <v>2026</v>
      </c>
      <c r="I71" s="61" t="s">
        <v>228</v>
      </c>
      <c r="J71" s="62"/>
      <c r="K71" s="63">
        <v>1</v>
      </c>
      <c r="L71" s="70">
        <v>500</v>
      </c>
      <c r="M71" s="48">
        <f>+IF(E71="",0,VLOOKUP(E71,[1]Code!J:K,2,0))</f>
        <v>8</v>
      </c>
      <c r="N71" s="49">
        <f t="shared" si="0"/>
        <v>0.125</v>
      </c>
      <c r="O71" s="50">
        <f t="shared" si="1"/>
        <v>0</v>
      </c>
      <c r="P71" s="50">
        <f t="shared" si="2"/>
        <v>0</v>
      </c>
      <c r="Q71" s="50">
        <f t="shared" si="3"/>
        <v>0</v>
      </c>
      <c r="R71" s="50">
        <f t="shared" si="4"/>
        <v>0</v>
      </c>
      <c r="S71" s="50">
        <f t="shared" si="5"/>
        <v>0</v>
      </c>
      <c r="T71" s="50">
        <f t="shared" si="6"/>
        <v>0</v>
      </c>
      <c r="U71" s="50">
        <f t="shared" si="7"/>
        <v>0</v>
      </c>
      <c r="V71" s="50">
        <f t="shared" si="8"/>
        <v>0</v>
      </c>
      <c r="W71" s="50">
        <f t="shared" si="9"/>
        <v>0</v>
      </c>
      <c r="X71" s="50">
        <f t="shared" si="10"/>
        <v>0</v>
      </c>
      <c r="Y71" s="50">
        <f t="shared" si="11"/>
        <v>500</v>
      </c>
      <c r="Z71" s="50">
        <f t="shared" si="12"/>
        <v>62.5</v>
      </c>
      <c r="AA71" s="50">
        <f t="shared" si="13"/>
        <v>437.5</v>
      </c>
      <c r="AB71" s="50">
        <f t="shared" si="14"/>
        <v>62.5</v>
      </c>
      <c r="AC71" s="50">
        <f t="shared" si="15"/>
        <v>375</v>
      </c>
      <c r="AD71" s="50">
        <f t="shared" si="16"/>
        <v>62.5</v>
      </c>
      <c r="AE71" s="50">
        <f t="shared" si="17"/>
        <v>312.5</v>
      </c>
      <c r="AF71" s="50">
        <f t="shared" si="18"/>
        <v>62.5</v>
      </c>
      <c r="AG71" s="51" t="str">
        <f t="shared" si="19"/>
        <v xml:space="preserve">5 MACHINERY,UTILITIESALL </v>
      </c>
      <c r="AH71" s="41"/>
      <c r="AI71" s="51" t="s">
        <v>209</v>
      </c>
      <c r="AJ71" s="51" t="s">
        <v>210</v>
      </c>
    </row>
    <row r="72" spans="1:36" ht="15.95" customHeight="1">
      <c r="A72" s="66" t="s">
        <v>257</v>
      </c>
      <c r="B72" s="67" t="s">
        <v>225</v>
      </c>
      <c r="C72" s="68" t="s">
        <v>258</v>
      </c>
      <c r="D72" s="59" t="s">
        <v>259</v>
      </c>
      <c r="E72" s="57" t="s">
        <v>119</v>
      </c>
      <c r="F72" s="57" t="s">
        <v>72</v>
      </c>
      <c r="G72" s="57" t="s">
        <v>207</v>
      </c>
      <c r="H72" s="60">
        <v>2026</v>
      </c>
      <c r="I72" s="61" t="s">
        <v>228</v>
      </c>
      <c r="J72" s="62"/>
      <c r="K72" s="63">
        <v>1</v>
      </c>
      <c r="L72" s="70">
        <v>5000</v>
      </c>
      <c r="M72" s="48">
        <f>+IF(E72="",0,VLOOKUP(E72,[1]Code!J:K,2,0))</f>
        <v>8</v>
      </c>
      <c r="N72" s="49">
        <f t="shared" si="0"/>
        <v>0.125</v>
      </c>
      <c r="O72" s="50">
        <f t="shared" si="1"/>
        <v>0</v>
      </c>
      <c r="P72" s="50">
        <f t="shared" si="2"/>
        <v>0</v>
      </c>
      <c r="Q72" s="50">
        <f t="shared" si="3"/>
        <v>0</v>
      </c>
      <c r="R72" s="50">
        <f t="shared" si="4"/>
        <v>0</v>
      </c>
      <c r="S72" s="50">
        <f t="shared" si="5"/>
        <v>0</v>
      </c>
      <c r="T72" s="50">
        <f t="shared" si="6"/>
        <v>0</v>
      </c>
      <c r="U72" s="50">
        <f t="shared" si="7"/>
        <v>0</v>
      </c>
      <c r="V72" s="50">
        <f t="shared" si="8"/>
        <v>0</v>
      </c>
      <c r="W72" s="50">
        <f t="shared" si="9"/>
        <v>0</v>
      </c>
      <c r="X72" s="50">
        <f t="shared" si="10"/>
        <v>0</v>
      </c>
      <c r="Y72" s="50">
        <f t="shared" si="11"/>
        <v>5000</v>
      </c>
      <c r="Z72" s="50">
        <f t="shared" si="12"/>
        <v>625</v>
      </c>
      <c r="AA72" s="50">
        <f t="shared" si="13"/>
        <v>4375</v>
      </c>
      <c r="AB72" s="50">
        <f t="shared" si="14"/>
        <v>625</v>
      </c>
      <c r="AC72" s="50">
        <f t="shared" si="15"/>
        <v>3750</v>
      </c>
      <c r="AD72" s="50">
        <f t="shared" si="16"/>
        <v>625</v>
      </c>
      <c r="AE72" s="50">
        <f t="shared" si="17"/>
        <v>3125</v>
      </c>
      <c r="AF72" s="50">
        <f t="shared" si="18"/>
        <v>625</v>
      </c>
      <c r="AG72" s="51" t="str">
        <f t="shared" si="19"/>
        <v xml:space="preserve">5 MACHINERY,UTILITIESALL </v>
      </c>
      <c r="AH72" s="41"/>
      <c r="AI72" s="51" t="s">
        <v>209</v>
      </c>
      <c r="AJ72" s="51" t="s">
        <v>210</v>
      </c>
    </row>
    <row r="73" spans="1:36" ht="15.95" customHeight="1">
      <c r="A73" s="66" t="s">
        <v>260</v>
      </c>
      <c r="B73" s="67" t="s">
        <v>225</v>
      </c>
      <c r="C73" s="68" t="s">
        <v>261</v>
      </c>
      <c r="D73" s="59" t="s">
        <v>262</v>
      </c>
      <c r="E73" s="57" t="s">
        <v>119</v>
      </c>
      <c r="F73" s="57" t="s">
        <v>72</v>
      </c>
      <c r="G73" s="57" t="s">
        <v>207</v>
      </c>
      <c r="H73" s="60">
        <v>2026</v>
      </c>
      <c r="I73" s="61" t="s">
        <v>228</v>
      </c>
      <c r="J73" s="62"/>
      <c r="K73" s="63">
        <v>1</v>
      </c>
      <c r="L73" s="70">
        <v>8000</v>
      </c>
      <c r="M73" s="48">
        <f>+IF(E73="",0,VLOOKUP(E73,[1]Code!J:K,2,0))</f>
        <v>8</v>
      </c>
      <c r="N73" s="49">
        <f t="shared" ref="N73:N136" si="20">IF(ISERROR(1/M73),0,1/M73)</f>
        <v>0.125</v>
      </c>
      <c r="O73" s="50">
        <f t="shared" ref="O73:O136" si="21">+IF(P$4&lt;1,0,IF(P$4=1,$L73,0))</f>
        <v>0</v>
      </c>
      <c r="P73" s="50">
        <f t="shared" ref="P73:P136" si="22">+IF(P$4&lt;1,0,IF($M73&lt;P$4,0,ROUND($L73*$N73,3)))</f>
        <v>0</v>
      </c>
      <c r="Q73" s="50">
        <f t="shared" ref="Q73:Q136" si="23">+IF(R$4&lt;1,0,IF(R$4=1,$L73,O73-P73))</f>
        <v>0</v>
      </c>
      <c r="R73" s="50">
        <f t="shared" ref="R73:R136" si="24">+IF(R$4&lt;1,0,IF($M73&lt;R$4,0,ROUND($L73*$N73,3)))</f>
        <v>0</v>
      </c>
      <c r="S73" s="50">
        <f t="shared" ref="S73:S136" si="25">+IF(T$4&lt;1,0,IF(T$4=1,$L73,Q73-R73))</f>
        <v>0</v>
      </c>
      <c r="T73" s="50">
        <f t="shared" ref="T73:T136" si="26">+IF(T$4&lt;1,0,IF($M73&lt;T$4,0,ROUND($L73*$N73,3)))</f>
        <v>0</v>
      </c>
      <c r="U73" s="50">
        <f t="shared" ref="U73:U136" si="27">+IF(V$4&lt;1,0,IF(V$4=1,$L73,S73-T73))</f>
        <v>0</v>
      </c>
      <c r="V73" s="50">
        <f t="shared" ref="V73:V136" si="28">+IF(V$4&lt;1,0,IF($M73&lt;V$4,0,ROUND($L73*$N73,3)))</f>
        <v>0</v>
      </c>
      <c r="W73" s="50">
        <f t="shared" ref="W73:W136" si="29">+IF(X$4&lt;1,0,IF(X$4=1,$L73,U73-V73))</f>
        <v>0</v>
      </c>
      <c r="X73" s="50">
        <f t="shared" ref="X73:X136" si="30">+IF(X$4&lt;1,0,IF($M73&lt;X$4,0,ROUND($L73*$N73,3)))</f>
        <v>0</v>
      </c>
      <c r="Y73" s="50">
        <f t="shared" ref="Y73:Y136" si="31">+IF(Z$4&lt;1,0,IF(Z$4=1,$L73,W73-X73))</f>
        <v>8000</v>
      </c>
      <c r="Z73" s="50">
        <f t="shared" ref="Z73:Z136" si="32">+IF(Z$4&lt;1,0,IF($M73&lt;Z$4,0,ROUND($L73*$N73,3)))</f>
        <v>1000</v>
      </c>
      <c r="AA73" s="50">
        <f t="shared" ref="AA73:AA136" si="33">+IF(AB$4&lt;1,0,IF(AB$4=1,$L73,Y73-Z73))</f>
        <v>7000</v>
      </c>
      <c r="AB73" s="50">
        <f t="shared" ref="AB73:AB136" si="34">+IF(AB$4&lt;1,0,IF($M73&lt;AB$4,0,ROUND($L73*$N73,3)))</f>
        <v>1000</v>
      </c>
      <c r="AC73" s="50">
        <f t="shared" ref="AC73:AC136" si="35">+IF(AD$4&lt;1,0,IF(AD$4=1,$L73,AA73-AB73))</f>
        <v>6000</v>
      </c>
      <c r="AD73" s="50">
        <f t="shared" ref="AD73:AD136" si="36">+IF(AD$4&lt;1,0,IF($M73&lt;AD$4,0,ROUND($L73*$N73,3)))</f>
        <v>1000</v>
      </c>
      <c r="AE73" s="50">
        <f t="shared" ref="AE73:AE136" si="37">+IF(AF$4&lt;1,0,IF(AF$4=1,$L73,AC73-AD73))</f>
        <v>5000</v>
      </c>
      <c r="AF73" s="50">
        <f t="shared" ref="AF73:AF136" si="38">+IF(AF$4&lt;1,0,IF($M73&lt;AF$4,0,ROUND($L73*$N73,3)))</f>
        <v>1000</v>
      </c>
      <c r="AG73" s="51" t="str">
        <f t="shared" ref="AG73:AG136" si="39">E73&amp;F73</f>
        <v xml:space="preserve">5 MACHINERY,UTILITIESALL </v>
      </c>
      <c r="AH73" s="41"/>
      <c r="AI73" s="51" t="s">
        <v>209</v>
      </c>
      <c r="AJ73" s="51" t="s">
        <v>210</v>
      </c>
    </row>
    <row r="74" spans="1:36" ht="15.95" customHeight="1">
      <c r="A74" s="66" t="s">
        <v>263</v>
      </c>
      <c r="B74" s="67" t="s">
        <v>225</v>
      </c>
      <c r="C74" s="68" t="s">
        <v>264</v>
      </c>
      <c r="D74" s="59" t="s">
        <v>265</v>
      </c>
      <c r="E74" s="57" t="s">
        <v>119</v>
      </c>
      <c r="F74" s="57" t="s">
        <v>72</v>
      </c>
      <c r="G74" s="57" t="s">
        <v>207</v>
      </c>
      <c r="H74" s="60">
        <v>2026</v>
      </c>
      <c r="I74" s="61" t="s">
        <v>228</v>
      </c>
      <c r="J74" s="62"/>
      <c r="K74" s="63">
        <v>1</v>
      </c>
      <c r="L74" s="70">
        <v>5000</v>
      </c>
      <c r="M74" s="48">
        <f>+IF(E74="",0,VLOOKUP(E74,[1]Code!J:K,2,0))</f>
        <v>8</v>
      </c>
      <c r="N74" s="49">
        <f t="shared" si="20"/>
        <v>0.125</v>
      </c>
      <c r="O74" s="50">
        <f t="shared" si="21"/>
        <v>0</v>
      </c>
      <c r="P74" s="50">
        <f t="shared" si="22"/>
        <v>0</v>
      </c>
      <c r="Q74" s="50">
        <f t="shared" si="23"/>
        <v>0</v>
      </c>
      <c r="R74" s="50">
        <f t="shared" si="24"/>
        <v>0</v>
      </c>
      <c r="S74" s="50">
        <f t="shared" si="25"/>
        <v>0</v>
      </c>
      <c r="T74" s="50">
        <f t="shared" si="26"/>
        <v>0</v>
      </c>
      <c r="U74" s="50">
        <f t="shared" si="27"/>
        <v>0</v>
      </c>
      <c r="V74" s="50">
        <f t="shared" si="28"/>
        <v>0</v>
      </c>
      <c r="W74" s="50">
        <f t="shared" si="29"/>
        <v>0</v>
      </c>
      <c r="X74" s="50">
        <f t="shared" si="30"/>
        <v>0</v>
      </c>
      <c r="Y74" s="50">
        <f t="shared" si="31"/>
        <v>5000</v>
      </c>
      <c r="Z74" s="50">
        <f t="shared" si="32"/>
        <v>625</v>
      </c>
      <c r="AA74" s="50">
        <f t="shared" si="33"/>
        <v>4375</v>
      </c>
      <c r="AB74" s="50">
        <f t="shared" si="34"/>
        <v>625</v>
      </c>
      <c r="AC74" s="50">
        <f t="shared" si="35"/>
        <v>3750</v>
      </c>
      <c r="AD74" s="50">
        <f t="shared" si="36"/>
        <v>625</v>
      </c>
      <c r="AE74" s="50">
        <f t="shared" si="37"/>
        <v>3125</v>
      </c>
      <c r="AF74" s="50">
        <f t="shared" si="38"/>
        <v>625</v>
      </c>
      <c r="AG74" s="51" t="str">
        <f t="shared" si="39"/>
        <v xml:space="preserve">5 MACHINERY,UTILITIESALL </v>
      </c>
      <c r="AH74" s="41"/>
      <c r="AI74" s="51" t="s">
        <v>209</v>
      </c>
      <c r="AJ74" s="51" t="s">
        <v>210</v>
      </c>
    </row>
    <row r="75" spans="1:36" ht="15.95" customHeight="1">
      <c r="A75" s="66" t="s">
        <v>266</v>
      </c>
      <c r="B75" s="67" t="s">
        <v>225</v>
      </c>
      <c r="C75" s="68" t="s">
        <v>267</v>
      </c>
      <c r="D75" s="59" t="s">
        <v>268</v>
      </c>
      <c r="E75" s="57" t="s">
        <v>119</v>
      </c>
      <c r="F75" s="57" t="s">
        <v>72</v>
      </c>
      <c r="G75" s="57" t="s">
        <v>207</v>
      </c>
      <c r="H75" s="60">
        <v>2026</v>
      </c>
      <c r="I75" s="61" t="s">
        <v>228</v>
      </c>
      <c r="J75" s="62"/>
      <c r="K75" s="63">
        <v>1</v>
      </c>
      <c r="L75" s="70">
        <v>8000</v>
      </c>
      <c r="M75" s="48">
        <f>+IF(E75="",0,VLOOKUP(E75,[1]Code!J:K,2,0))</f>
        <v>8</v>
      </c>
      <c r="N75" s="49">
        <f t="shared" si="20"/>
        <v>0.125</v>
      </c>
      <c r="O75" s="50">
        <f t="shared" si="21"/>
        <v>0</v>
      </c>
      <c r="P75" s="50">
        <f t="shared" si="22"/>
        <v>0</v>
      </c>
      <c r="Q75" s="50">
        <f t="shared" si="23"/>
        <v>0</v>
      </c>
      <c r="R75" s="50">
        <f t="shared" si="24"/>
        <v>0</v>
      </c>
      <c r="S75" s="50">
        <f t="shared" si="25"/>
        <v>0</v>
      </c>
      <c r="T75" s="50">
        <f t="shared" si="26"/>
        <v>0</v>
      </c>
      <c r="U75" s="50">
        <f t="shared" si="27"/>
        <v>0</v>
      </c>
      <c r="V75" s="50">
        <f t="shared" si="28"/>
        <v>0</v>
      </c>
      <c r="W75" s="50">
        <f t="shared" si="29"/>
        <v>0</v>
      </c>
      <c r="X75" s="50">
        <f t="shared" si="30"/>
        <v>0</v>
      </c>
      <c r="Y75" s="50">
        <f t="shared" si="31"/>
        <v>8000</v>
      </c>
      <c r="Z75" s="50">
        <f t="shared" si="32"/>
        <v>1000</v>
      </c>
      <c r="AA75" s="50">
        <f t="shared" si="33"/>
        <v>7000</v>
      </c>
      <c r="AB75" s="50">
        <f t="shared" si="34"/>
        <v>1000</v>
      </c>
      <c r="AC75" s="50">
        <f t="shared" si="35"/>
        <v>6000</v>
      </c>
      <c r="AD75" s="50">
        <f t="shared" si="36"/>
        <v>1000</v>
      </c>
      <c r="AE75" s="50">
        <f t="shared" si="37"/>
        <v>5000</v>
      </c>
      <c r="AF75" s="50">
        <f t="shared" si="38"/>
        <v>1000</v>
      </c>
      <c r="AG75" s="51" t="str">
        <f t="shared" si="39"/>
        <v xml:space="preserve">5 MACHINERY,UTILITIESALL </v>
      </c>
      <c r="AH75" s="41"/>
      <c r="AI75" s="51" t="s">
        <v>209</v>
      </c>
      <c r="AJ75" s="51" t="s">
        <v>210</v>
      </c>
    </row>
    <row r="76" spans="1:36" ht="15.95" customHeight="1">
      <c r="A76" s="56" t="s">
        <v>269</v>
      </c>
      <c r="B76" s="67" t="s">
        <v>95</v>
      </c>
      <c r="C76" s="71" t="s">
        <v>270</v>
      </c>
      <c r="D76" s="59" t="s">
        <v>271</v>
      </c>
      <c r="E76" s="57" t="s">
        <v>97</v>
      </c>
      <c r="F76" s="57" t="s">
        <v>72</v>
      </c>
      <c r="G76" s="57" t="s">
        <v>272</v>
      </c>
      <c r="H76" s="60">
        <v>2026</v>
      </c>
      <c r="I76" s="61" t="s">
        <v>273</v>
      </c>
      <c r="J76" s="72"/>
      <c r="K76" s="63">
        <v>2</v>
      </c>
      <c r="L76" s="64">
        <v>60</v>
      </c>
      <c r="M76" s="48">
        <f>+IF(E76="",0,VLOOKUP(E76,[1]Code!J:K,2,0))</f>
        <v>5</v>
      </c>
      <c r="N76" s="49">
        <f t="shared" si="20"/>
        <v>0.2</v>
      </c>
      <c r="O76" s="50">
        <f t="shared" si="21"/>
        <v>0</v>
      </c>
      <c r="P76" s="50">
        <f t="shared" si="22"/>
        <v>0</v>
      </c>
      <c r="Q76" s="50">
        <f t="shared" si="23"/>
        <v>0</v>
      </c>
      <c r="R76" s="50">
        <f t="shared" si="24"/>
        <v>0</v>
      </c>
      <c r="S76" s="50">
        <f t="shared" si="25"/>
        <v>0</v>
      </c>
      <c r="T76" s="50">
        <f t="shared" si="26"/>
        <v>0</v>
      </c>
      <c r="U76" s="50">
        <f t="shared" si="27"/>
        <v>0</v>
      </c>
      <c r="V76" s="50">
        <f t="shared" si="28"/>
        <v>0</v>
      </c>
      <c r="W76" s="50">
        <f t="shared" si="29"/>
        <v>0</v>
      </c>
      <c r="X76" s="50">
        <f t="shared" si="30"/>
        <v>0</v>
      </c>
      <c r="Y76" s="50">
        <f t="shared" si="31"/>
        <v>60</v>
      </c>
      <c r="Z76" s="50">
        <f t="shared" si="32"/>
        <v>12</v>
      </c>
      <c r="AA76" s="50">
        <f t="shared" si="33"/>
        <v>48</v>
      </c>
      <c r="AB76" s="50">
        <f t="shared" si="34"/>
        <v>12</v>
      </c>
      <c r="AC76" s="50">
        <f t="shared" si="35"/>
        <v>36</v>
      </c>
      <c r="AD76" s="50">
        <f t="shared" si="36"/>
        <v>12</v>
      </c>
      <c r="AE76" s="50">
        <f t="shared" si="37"/>
        <v>24</v>
      </c>
      <c r="AF76" s="50">
        <f t="shared" si="38"/>
        <v>12</v>
      </c>
      <c r="AG76" s="51" t="str">
        <f t="shared" si="39"/>
        <v xml:space="preserve">14 OFFICE EQUIPMENTSALL </v>
      </c>
      <c r="AH76" s="41"/>
      <c r="AI76" s="51" t="s">
        <v>274</v>
      </c>
      <c r="AJ76" s="51" t="s">
        <v>275</v>
      </c>
    </row>
    <row r="77" spans="1:36" ht="15.95" customHeight="1">
      <c r="A77" s="56" t="s">
        <v>276</v>
      </c>
      <c r="B77" s="67" t="s">
        <v>277</v>
      </c>
      <c r="C77" s="71" t="s">
        <v>270</v>
      </c>
      <c r="D77" s="59" t="s">
        <v>278</v>
      </c>
      <c r="E77" s="57" t="s">
        <v>97</v>
      </c>
      <c r="F77" s="57" t="s">
        <v>72</v>
      </c>
      <c r="G77" s="57" t="s">
        <v>272</v>
      </c>
      <c r="H77" s="60">
        <v>2026</v>
      </c>
      <c r="I77" s="61" t="s">
        <v>279</v>
      </c>
      <c r="J77" s="72"/>
      <c r="K77" s="63">
        <v>1</v>
      </c>
      <c r="L77" s="64">
        <v>10</v>
      </c>
      <c r="M77" s="48">
        <f>+IF(E77="",0,VLOOKUP(E77,[1]Code!J:K,2,0))</f>
        <v>5</v>
      </c>
      <c r="N77" s="49">
        <f t="shared" si="20"/>
        <v>0.2</v>
      </c>
      <c r="O77" s="50">
        <f t="shared" si="21"/>
        <v>0</v>
      </c>
      <c r="P77" s="50">
        <f t="shared" si="22"/>
        <v>0</v>
      </c>
      <c r="Q77" s="50">
        <f t="shared" si="23"/>
        <v>0</v>
      </c>
      <c r="R77" s="50">
        <f t="shared" si="24"/>
        <v>0</v>
      </c>
      <c r="S77" s="50">
        <f t="shared" si="25"/>
        <v>0</v>
      </c>
      <c r="T77" s="50">
        <f t="shared" si="26"/>
        <v>0</v>
      </c>
      <c r="U77" s="50">
        <f t="shared" si="27"/>
        <v>0</v>
      </c>
      <c r="V77" s="50">
        <f t="shared" si="28"/>
        <v>0</v>
      </c>
      <c r="W77" s="50">
        <f t="shared" si="29"/>
        <v>0</v>
      </c>
      <c r="X77" s="50">
        <f t="shared" si="30"/>
        <v>0</v>
      </c>
      <c r="Y77" s="50">
        <f t="shared" si="31"/>
        <v>10</v>
      </c>
      <c r="Z77" s="50">
        <f t="shared" si="32"/>
        <v>2</v>
      </c>
      <c r="AA77" s="50">
        <f t="shared" si="33"/>
        <v>8</v>
      </c>
      <c r="AB77" s="50">
        <f t="shared" si="34"/>
        <v>2</v>
      </c>
      <c r="AC77" s="50">
        <f t="shared" si="35"/>
        <v>6</v>
      </c>
      <c r="AD77" s="50">
        <f t="shared" si="36"/>
        <v>2</v>
      </c>
      <c r="AE77" s="50">
        <f t="shared" si="37"/>
        <v>4</v>
      </c>
      <c r="AF77" s="50">
        <f t="shared" si="38"/>
        <v>2</v>
      </c>
      <c r="AG77" s="51" t="str">
        <f t="shared" si="39"/>
        <v xml:space="preserve">14 OFFICE EQUIPMENTSALL </v>
      </c>
      <c r="AH77" s="41"/>
      <c r="AI77" s="51" t="s">
        <v>274</v>
      </c>
      <c r="AJ77" s="51" t="s">
        <v>275</v>
      </c>
    </row>
    <row r="78" spans="1:36" ht="15.95" customHeight="1">
      <c r="A78" s="56" t="s">
        <v>280</v>
      </c>
      <c r="B78" s="67" t="s">
        <v>281</v>
      </c>
      <c r="C78" s="71" t="s">
        <v>270</v>
      </c>
      <c r="D78" s="59" t="s">
        <v>282</v>
      </c>
      <c r="E78" s="57" t="s">
        <v>103</v>
      </c>
      <c r="F78" s="57" t="s">
        <v>72</v>
      </c>
      <c r="G78" s="57" t="s">
        <v>272</v>
      </c>
      <c r="H78" s="60">
        <v>2026</v>
      </c>
      <c r="I78" s="61" t="s">
        <v>279</v>
      </c>
      <c r="J78" s="72"/>
      <c r="K78" s="63">
        <v>1</v>
      </c>
      <c r="L78" s="64">
        <v>200</v>
      </c>
      <c r="M78" s="48">
        <f>+IF(E78="",0,VLOOKUP(E78,[1]Code!J:K,2,0))</f>
        <v>5</v>
      </c>
      <c r="N78" s="49">
        <f t="shared" si="20"/>
        <v>0.2</v>
      </c>
      <c r="O78" s="50">
        <f t="shared" si="21"/>
        <v>0</v>
      </c>
      <c r="P78" s="50">
        <f t="shared" si="22"/>
        <v>0</v>
      </c>
      <c r="Q78" s="50">
        <f t="shared" si="23"/>
        <v>0</v>
      </c>
      <c r="R78" s="50">
        <f t="shared" si="24"/>
        <v>0</v>
      </c>
      <c r="S78" s="50">
        <f t="shared" si="25"/>
        <v>0</v>
      </c>
      <c r="T78" s="50">
        <f t="shared" si="26"/>
        <v>0</v>
      </c>
      <c r="U78" s="50">
        <f t="shared" si="27"/>
        <v>0</v>
      </c>
      <c r="V78" s="50">
        <f t="shared" si="28"/>
        <v>0</v>
      </c>
      <c r="W78" s="50">
        <f t="shared" si="29"/>
        <v>0</v>
      </c>
      <c r="X78" s="50">
        <f t="shared" si="30"/>
        <v>0</v>
      </c>
      <c r="Y78" s="50">
        <f t="shared" si="31"/>
        <v>200</v>
      </c>
      <c r="Z78" s="50">
        <f t="shared" si="32"/>
        <v>40</v>
      </c>
      <c r="AA78" s="50">
        <f t="shared" si="33"/>
        <v>160</v>
      </c>
      <c r="AB78" s="50">
        <f t="shared" si="34"/>
        <v>40</v>
      </c>
      <c r="AC78" s="50">
        <f t="shared" si="35"/>
        <v>120</v>
      </c>
      <c r="AD78" s="50">
        <f t="shared" si="36"/>
        <v>40</v>
      </c>
      <c r="AE78" s="50">
        <f t="shared" si="37"/>
        <v>80</v>
      </c>
      <c r="AF78" s="50">
        <f t="shared" si="38"/>
        <v>40</v>
      </c>
      <c r="AG78" s="51" t="str">
        <f t="shared" si="39"/>
        <v xml:space="preserve">9 TOOLSALL </v>
      </c>
      <c r="AH78" s="41"/>
      <c r="AI78" s="51" t="s">
        <v>274</v>
      </c>
      <c r="AJ78" s="51" t="s">
        <v>275</v>
      </c>
    </row>
    <row r="79" spans="1:36" ht="15.95" customHeight="1">
      <c r="A79" s="57" t="s">
        <v>283</v>
      </c>
      <c r="B79" s="57" t="s">
        <v>281</v>
      </c>
      <c r="C79" s="58" t="s">
        <v>284</v>
      </c>
      <c r="D79" s="59" t="s">
        <v>285</v>
      </c>
      <c r="E79" s="57" t="s">
        <v>71</v>
      </c>
      <c r="F79" s="57" t="s">
        <v>72</v>
      </c>
      <c r="G79" s="57" t="s">
        <v>286</v>
      </c>
      <c r="H79" s="60">
        <v>2026</v>
      </c>
      <c r="I79" s="61" t="s">
        <v>228</v>
      </c>
      <c r="J79" s="73"/>
      <c r="K79" s="63">
        <v>1</v>
      </c>
      <c r="L79" s="64">
        <v>2500</v>
      </c>
      <c r="M79" s="48">
        <f>+IF(E79="",0,VLOOKUP(E79,[1]Code!J:K,2,0))</f>
        <v>6</v>
      </c>
      <c r="N79" s="49">
        <f t="shared" si="20"/>
        <v>0.16666666666666666</v>
      </c>
      <c r="O79" s="50">
        <f t="shared" si="21"/>
        <v>0</v>
      </c>
      <c r="P79" s="50">
        <f t="shared" si="22"/>
        <v>0</v>
      </c>
      <c r="Q79" s="50">
        <f t="shared" si="23"/>
        <v>0</v>
      </c>
      <c r="R79" s="50">
        <f t="shared" si="24"/>
        <v>0</v>
      </c>
      <c r="S79" s="50">
        <f t="shared" si="25"/>
        <v>0</v>
      </c>
      <c r="T79" s="50">
        <f t="shared" si="26"/>
        <v>0</v>
      </c>
      <c r="U79" s="50">
        <f t="shared" si="27"/>
        <v>0</v>
      </c>
      <c r="V79" s="50">
        <f t="shared" si="28"/>
        <v>0</v>
      </c>
      <c r="W79" s="50">
        <f t="shared" si="29"/>
        <v>0</v>
      </c>
      <c r="X79" s="50">
        <f t="shared" si="30"/>
        <v>0</v>
      </c>
      <c r="Y79" s="50">
        <f t="shared" si="31"/>
        <v>2500</v>
      </c>
      <c r="Z79" s="50">
        <f t="shared" si="32"/>
        <v>416.66699999999997</v>
      </c>
      <c r="AA79" s="50">
        <f t="shared" si="33"/>
        <v>2083.3330000000001</v>
      </c>
      <c r="AB79" s="50">
        <f t="shared" si="34"/>
        <v>416.66699999999997</v>
      </c>
      <c r="AC79" s="50">
        <f t="shared" si="35"/>
        <v>1666.6660000000002</v>
      </c>
      <c r="AD79" s="50">
        <f t="shared" si="36"/>
        <v>416.66699999999997</v>
      </c>
      <c r="AE79" s="50">
        <f t="shared" si="37"/>
        <v>1249.9990000000003</v>
      </c>
      <c r="AF79" s="50">
        <f t="shared" si="38"/>
        <v>416.66699999999997</v>
      </c>
      <c r="AG79" s="51" t="str">
        <f t="shared" si="39"/>
        <v xml:space="preserve">13 INTANGIBLE ASSETSALL </v>
      </c>
      <c r="AH79" s="41"/>
      <c r="AI79" s="51" t="s">
        <v>287</v>
      </c>
      <c r="AJ79" s="51" t="s">
        <v>288</v>
      </c>
    </row>
    <row r="80" spans="1:36" ht="15.95" customHeight="1">
      <c r="A80" s="57" t="s">
        <v>289</v>
      </c>
      <c r="B80" s="57" t="s">
        <v>281</v>
      </c>
      <c r="C80" s="58" t="s">
        <v>290</v>
      </c>
      <c r="D80" s="59" t="s">
        <v>291</v>
      </c>
      <c r="E80" s="57" t="s">
        <v>119</v>
      </c>
      <c r="F80" s="57" t="s">
        <v>72</v>
      </c>
      <c r="G80" s="57" t="s">
        <v>286</v>
      </c>
      <c r="H80" s="60">
        <v>2026</v>
      </c>
      <c r="I80" s="61" t="s">
        <v>220</v>
      </c>
      <c r="J80" s="73"/>
      <c r="K80" s="63">
        <v>1</v>
      </c>
      <c r="L80" s="64">
        <v>6000</v>
      </c>
      <c r="M80" s="48">
        <f>+IF(E80="",0,VLOOKUP(E80,[1]Code!J:K,2,0))</f>
        <v>8</v>
      </c>
      <c r="N80" s="49">
        <f t="shared" si="20"/>
        <v>0.125</v>
      </c>
      <c r="O80" s="50">
        <f t="shared" si="21"/>
        <v>0</v>
      </c>
      <c r="P80" s="50">
        <f t="shared" si="22"/>
        <v>0</v>
      </c>
      <c r="Q80" s="50">
        <f t="shared" si="23"/>
        <v>0</v>
      </c>
      <c r="R80" s="50">
        <f t="shared" si="24"/>
        <v>0</v>
      </c>
      <c r="S80" s="50">
        <f t="shared" si="25"/>
        <v>0</v>
      </c>
      <c r="T80" s="50">
        <f t="shared" si="26"/>
        <v>0</v>
      </c>
      <c r="U80" s="50">
        <f t="shared" si="27"/>
        <v>0</v>
      </c>
      <c r="V80" s="50">
        <f t="shared" si="28"/>
        <v>0</v>
      </c>
      <c r="W80" s="50">
        <f t="shared" si="29"/>
        <v>0</v>
      </c>
      <c r="X80" s="50">
        <f t="shared" si="30"/>
        <v>0</v>
      </c>
      <c r="Y80" s="50">
        <f t="shared" si="31"/>
        <v>6000</v>
      </c>
      <c r="Z80" s="50">
        <f t="shared" si="32"/>
        <v>750</v>
      </c>
      <c r="AA80" s="50">
        <f t="shared" si="33"/>
        <v>5250</v>
      </c>
      <c r="AB80" s="50">
        <f t="shared" si="34"/>
        <v>750</v>
      </c>
      <c r="AC80" s="50">
        <f t="shared" si="35"/>
        <v>4500</v>
      </c>
      <c r="AD80" s="50">
        <f t="shared" si="36"/>
        <v>750</v>
      </c>
      <c r="AE80" s="50">
        <f t="shared" si="37"/>
        <v>3750</v>
      </c>
      <c r="AF80" s="50">
        <f t="shared" si="38"/>
        <v>750</v>
      </c>
      <c r="AG80" s="51" t="str">
        <f t="shared" si="39"/>
        <v xml:space="preserve">5 MACHINERY,UTILITIESALL </v>
      </c>
      <c r="AH80" s="41"/>
      <c r="AI80" s="51" t="s">
        <v>287</v>
      </c>
      <c r="AJ80" s="51" t="s">
        <v>288</v>
      </c>
    </row>
    <row r="81" spans="1:36" ht="15.95" customHeight="1">
      <c r="A81" s="57" t="s">
        <v>292</v>
      </c>
      <c r="B81" s="57" t="s">
        <v>293</v>
      </c>
      <c r="C81" s="58" t="s">
        <v>284</v>
      </c>
      <c r="D81" s="59" t="s">
        <v>294</v>
      </c>
      <c r="E81" s="57" t="s">
        <v>71</v>
      </c>
      <c r="F81" s="57" t="s">
        <v>72</v>
      </c>
      <c r="G81" s="57" t="s">
        <v>286</v>
      </c>
      <c r="H81" s="60">
        <v>2026</v>
      </c>
      <c r="I81" s="61" t="s">
        <v>273</v>
      </c>
      <c r="J81" s="73"/>
      <c r="K81" s="63">
        <v>7</v>
      </c>
      <c r="L81" s="64">
        <v>800</v>
      </c>
      <c r="M81" s="48">
        <f>+IF(E81="",0,VLOOKUP(E81,[1]Code!J:K,2,0))</f>
        <v>6</v>
      </c>
      <c r="N81" s="49">
        <f t="shared" si="20"/>
        <v>0.16666666666666666</v>
      </c>
      <c r="O81" s="50">
        <f t="shared" si="21"/>
        <v>0</v>
      </c>
      <c r="P81" s="50">
        <f t="shared" si="22"/>
        <v>0</v>
      </c>
      <c r="Q81" s="50">
        <f t="shared" si="23"/>
        <v>0</v>
      </c>
      <c r="R81" s="50">
        <f t="shared" si="24"/>
        <v>0</v>
      </c>
      <c r="S81" s="50">
        <f t="shared" si="25"/>
        <v>0</v>
      </c>
      <c r="T81" s="50">
        <f t="shared" si="26"/>
        <v>0</v>
      </c>
      <c r="U81" s="50">
        <f t="shared" si="27"/>
        <v>0</v>
      </c>
      <c r="V81" s="50">
        <f t="shared" si="28"/>
        <v>0</v>
      </c>
      <c r="W81" s="50">
        <f t="shared" si="29"/>
        <v>0</v>
      </c>
      <c r="X81" s="50">
        <f t="shared" si="30"/>
        <v>0</v>
      </c>
      <c r="Y81" s="50">
        <f t="shared" si="31"/>
        <v>800</v>
      </c>
      <c r="Z81" s="50">
        <f t="shared" si="32"/>
        <v>133.333</v>
      </c>
      <c r="AA81" s="50">
        <f t="shared" si="33"/>
        <v>666.66700000000003</v>
      </c>
      <c r="AB81" s="50">
        <f t="shared" si="34"/>
        <v>133.333</v>
      </c>
      <c r="AC81" s="50">
        <f t="shared" si="35"/>
        <v>533.33400000000006</v>
      </c>
      <c r="AD81" s="50">
        <f t="shared" si="36"/>
        <v>133.333</v>
      </c>
      <c r="AE81" s="50">
        <f t="shared" si="37"/>
        <v>400.00100000000009</v>
      </c>
      <c r="AF81" s="50">
        <f t="shared" si="38"/>
        <v>133.333</v>
      </c>
      <c r="AG81" s="51" t="str">
        <f t="shared" si="39"/>
        <v xml:space="preserve">13 INTANGIBLE ASSETSALL </v>
      </c>
      <c r="AH81" s="41"/>
      <c r="AI81" s="51" t="s">
        <v>287</v>
      </c>
      <c r="AJ81" s="51" t="s">
        <v>288</v>
      </c>
    </row>
    <row r="82" spans="1:36" ht="15.95" customHeight="1">
      <c r="A82" s="57" t="s">
        <v>295</v>
      </c>
      <c r="B82" s="57" t="s">
        <v>277</v>
      </c>
      <c r="C82" s="58" t="s">
        <v>296</v>
      </c>
      <c r="D82" s="59" t="s">
        <v>297</v>
      </c>
      <c r="E82" s="57" t="s">
        <v>90</v>
      </c>
      <c r="F82" s="57" t="s">
        <v>72</v>
      </c>
      <c r="G82" s="57" t="s">
        <v>286</v>
      </c>
      <c r="H82" s="60">
        <v>2026</v>
      </c>
      <c r="I82" s="61" t="s">
        <v>273</v>
      </c>
      <c r="J82" s="73"/>
      <c r="K82" s="63">
        <v>20</v>
      </c>
      <c r="L82" s="64">
        <v>200</v>
      </c>
      <c r="M82" s="48">
        <f>+IF(E82="",0,VLOOKUP(E82,[1]Code!J:K,2,0))</f>
        <v>10</v>
      </c>
      <c r="N82" s="49">
        <f t="shared" si="20"/>
        <v>0.1</v>
      </c>
      <c r="O82" s="50">
        <f t="shared" si="21"/>
        <v>0</v>
      </c>
      <c r="P82" s="50">
        <f t="shared" si="22"/>
        <v>0</v>
      </c>
      <c r="Q82" s="50">
        <f t="shared" si="23"/>
        <v>0</v>
      </c>
      <c r="R82" s="50">
        <f t="shared" si="24"/>
        <v>0</v>
      </c>
      <c r="S82" s="50">
        <f t="shared" si="25"/>
        <v>0</v>
      </c>
      <c r="T82" s="50">
        <f t="shared" si="26"/>
        <v>0</v>
      </c>
      <c r="U82" s="50">
        <f t="shared" si="27"/>
        <v>0</v>
      </c>
      <c r="V82" s="50">
        <f t="shared" si="28"/>
        <v>0</v>
      </c>
      <c r="W82" s="50">
        <f t="shared" si="29"/>
        <v>0</v>
      </c>
      <c r="X82" s="50">
        <f t="shared" si="30"/>
        <v>0</v>
      </c>
      <c r="Y82" s="50">
        <f t="shared" si="31"/>
        <v>200</v>
      </c>
      <c r="Z82" s="50">
        <f t="shared" si="32"/>
        <v>20</v>
      </c>
      <c r="AA82" s="50">
        <f t="shared" si="33"/>
        <v>180</v>
      </c>
      <c r="AB82" s="50">
        <f t="shared" si="34"/>
        <v>20</v>
      </c>
      <c r="AC82" s="50">
        <f t="shared" si="35"/>
        <v>160</v>
      </c>
      <c r="AD82" s="50">
        <f t="shared" si="36"/>
        <v>20</v>
      </c>
      <c r="AE82" s="50">
        <f t="shared" si="37"/>
        <v>140</v>
      </c>
      <c r="AF82" s="50">
        <f t="shared" si="38"/>
        <v>20</v>
      </c>
      <c r="AG82" s="51" t="str">
        <f t="shared" si="39"/>
        <v xml:space="preserve">12 FURNITURE &amp; FIXTUREALL </v>
      </c>
      <c r="AH82" s="41"/>
      <c r="AI82" s="51" t="s">
        <v>287</v>
      </c>
      <c r="AJ82" s="51" t="s">
        <v>288</v>
      </c>
    </row>
    <row r="83" spans="1:36" ht="15.95" customHeight="1">
      <c r="A83" s="66" t="s">
        <v>298</v>
      </c>
      <c r="B83" s="57" t="s">
        <v>225</v>
      </c>
      <c r="C83" s="68" t="s">
        <v>270</v>
      </c>
      <c r="D83" s="59" t="s">
        <v>299</v>
      </c>
      <c r="E83" s="57" t="s">
        <v>103</v>
      </c>
      <c r="F83" s="57" t="s">
        <v>72</v>
      </c>
      <c r="G83" s="42" t="s">
        <v>300</v>
      </c>
      <c r="H83" s="60">
        <v>2026</v>
      </c>
      <c r="I83" s="61" t="s">
        <v>215</v>
      </c>
      <c r="J83" s="73"/>
      <c r="K83" s="63">
        <v>20</v>
      </c>
      <c r="L83" s="70">
        <v>1000</v>
      </c>
      <c r="M83" s="48">
        <f>+IF(E83="",0,VLOOKUP(E83,[1]Code!J:K,2,0))</f>
        <v>5</v>
      </c>
      <c r="N83" s="49">
        <f t="shared" si="20"/>
        <v>0.2</v>
      </c>
      <c r="O83" s="50">
        <f t="shared" si="21"/>
        <v>0</v>
      </c>
      <c r="P83" s="50">
        <f t="shared" si="22"/>
        <v>0</v>
      </c>
      <c r="Q83" s="50">
        <f t="shared" si="23"/>
        <v>0</v>
      </c>
      <c r="R83" s="50">
        <f t="shared" si="24"/>
        <v>0</v>
      </c>
      <c r="S83" s="50">
        <f t="shared" si="25"/>
        <v>0</v>
      </c>
      <c r="T83" s="50">
        <f t="shared" si="26"/>
        <v>0</v>
      </c>
      <c r="U83" s="50">
        <f t="shared" si="27"/>
        <v>0</v>
      </c>
      <c r="V83" s="50">
        <f t="shared" si="28"/>
        <v>0</v>
      </c>
      <c r="W83" s="50">
        <f t="shared" si="29"/>
        <v>0</v>
      </c>
      <c r="X83" s="50">
        <f t="shared" si="30"/>
        <v>0</v>
      </c>
      <c r="Y83" s="50">
        <f t="shared" si="31"/>
        <v>1000</v>
      </c>
      <c r="Z83" s="50">
        <f t="shared" si="32"/>
        <v>200</v>
      </c>
      <c r="AA83" s="50">
        <f t="shared" si="33"/>
        <v>800</v>
      </c>
      <c r="AB83" s="50">
        <f t="shared" si="34"/>
        <v>200</v>
      </c>
      <c r="AC83" s="50">
        <f t="shared" si="35"/>
        <v>600</v>
      </c>
      <c r="AD83" s="50">
        <f t="shared" si="36"/>
        <v>200</v>
      </c>
      <c r="AE83" s="50">
        <f t="shared" si="37"/>
        <v>400</v>
      </c>
      <c r="AF83" s="50">
        <f t="shared" si="38"/>
        <v>200</v>
      </c>
      <c r="AG83" s="51" t="str">
        <f t="shared" si="39"/>
        <v xml:space="preserve">9 TOOLSALL </v>
      </c>
      <c r="AH83" s="41"/>
      <c r="AI83" s="51" t="s">
        <v>287</v>
      </c>
      <c r="AJ83" s="51" t="s">
        <v>288</v>
      </c>
    </row>
    <row r="84" spans="1:36" ht="15.95" customHeight="1">
      <c r="A84" s="66" t="s">
        <v>301</v>
      </c>
      <c r="B84" s="57" t="s">
        <v>225</v>
      </c>
      <c r="C84" s="68" t="s">
        <v>302</v>
      </c>
      <c r="D84" s="74" t="s">
        <v>302</v>
      </c>
      <c r="E84" s="57" t="s">
        <v>169</v>
      </c>
      <c r="F84" s="57" t="s">
        <v>72</v>
      </c>
      <c r="G84" s="42" t="s">
        <v>300</v>
      </c>
      <c r="H84" s="60">
        <v>2026</v>
      </c>
      <c r="I84" s="61" t="s">
        <v>215</v>
      </c>
      <c r="J84" s="73"/>
      <c r="K84" s="63">
        <v>1</v>
      </c>
      <c r="L84" s="70">
        <v>2000</v>
      </c>
      <c r="M84" s="48">
        <f>+IF(E84="",0,VLOOKUP(E84,[1]Code!J:K,2,0))</f>
        <v>30</v>
      </c>
      <c r="N84" s="49">
        <f t="shared" si="20"/>
        <v>3.3333333333333333E-2</v>
      </c>
      <c r="O84" s="50">
        <f t="shared" si="21"/>
        <v>0</v>
      </c>
      <c r="P84" s="50">
        <f t="shared" si="22"/>
        <v>0</v>
      </c>
      <c r="Q84" s="50">
        <f t="shared" si="23"/>
        <v>0</v>
      </c>
      <c r="R84" s="50">
        <f t="shared" si="24"/>
        <v>0</v>
      </c>
      <c r="S84" s="50">
        <f t="shared" si="25"/>
        <v>0</v>
      </c>
      <c r="T84" s="50">
        <f t="shared" si="26"/>
        <v>0</v>
      </c>
      <c r="U84" s="50">
        <f t="shared" si="27"/>
        <v>0</v>
      </c>
      <c r="V84" s="50">
        <f t="shared" si="28"/>
        <v>0</v>
      </c>
      <c r="W84" s="50">
        <f t="shared" si="29"/>
        <v>0</v>
      </c>
      <c r="X84" s="50">
        <f t="shared" si="30"/>
        <v>0</v>
      </c>
      <c r="Y84" s="50">
        <f t="shared" si="31"/>
        <v>2000</v>
      </c>
      <c r="Z84" s="50">
        <f t="shared" si="32"/>
        <v>66.667000000000002</v>
      </c>
      <c r="AA84" s="50">
        <f t="shared" si="33"/>
        <v>1933.3330000000001</v>
      </c>
      <c r="AB84" s="50">
        <f t="shared" si="34"/>
        <v>66.667000000000002</v>
      </c>
      <c r="AC84" s="50">
        <f t="shared" si="35"/>
        <v>1866.6660000000002</v>
      </c>
      <c r="AD84" s="50">
        <f t="shared" si="36"/>
        <v>66.667000000000002</v>
      </c>
      <c r="AE84" s="50">
        <f t="shared" si="37"/>
        <v>1799.9990000000003</v>
      </c>
      <c r="AF84" s="50">
        <f t="shared" si="38"/>
        <v>66.667000000000002</v>
      </c>
      <c r="AG84" s="51" t="str">
        <f t="shared" si="39"/>
        <v xml:space="preserve">1 BUILDINGALL </v>
      </c>
      <c r="AH84" s="41"/>
      <c r="AI84" s="51" t="s">
        <v>287</v>
      </c>
      <c r="AJ84" s="51" t="s">
        <v>288</v>
      </c>
    </row>
    <row r="85" spans="1:36" ht="15.95" customHeight="1">
      <c r="A85" s="41" t="s">
        <v>303</v>
      </c>
      <c r="B85" s="42" t="s">
        <v>304</v>
      </c>
      <c r="C85" s="43" t="s">
        <v>305</v>
      </c>
      <c r="D85" s="52" t="s">
        <v>306</v>
      </c>
      <c r="E85" s="42" t="s">
        <v>307</v>
      </c>
      <c r="F85" s="42" t="s">
        <v>72</v>
      </c>
      <c r="G85" s="42" t="s">
        <v>308</v>
      </c>
      <c r="H85" s="41">
        <v>2026</v>
      </c>
      <c r="I85" s="45" t="s">
        <v>309</v>
      </c>
      <c r="J85" s="45"/>
      <c r="K85" s="54">
        <v>422</v>
      </c>
      <c r="L85" s="47">
        <v>27755</v>
      </c>
      <c r="M85" s="48">
        <f>+IF(E85="",0,VLOOKUP(E85,[1]Code!J:K,2,0))</f>
        <v>3</v>
      </c>
      <c r="N85" s="49">
        <f t="shared" si="20"/>
        <v>0.33333333333333331</v>
      </c>
      <c r="O85" s="50">
        <f t="shared" si="21"/>
        <v>0</v>
      </c>
      <c r="P85" s="50">
        <f t="shared" si="22"/>
        <v>0</v>
      </c>
      <c r="Q85" s="50">
        <f t="shared" si="23"/>
        <v>0</v>
      </c>
      <c r="R85" s="50">
        <f t="shared" si="24"/>
        <v>0</v>
      </c>
      <c r="S85" s="50">
        <f t="shared" si="25"/>
        <v>0</v>
      </c>
      <c r="T85" s="50">
        <f t="shared" si="26"/>
        <v>0</v>
      </c>
      <c r="U85" s="50">
        <f t="shared" si="27"/>
        <v>0</v>
      </c>
      <c r="V85" s="50">
        <f t="shared" si="28"/>
        <v>0</v>
      </c>
      <c r="W85" s="50">
        <f t="shared" si="29"/>
        <v>0</v>
      </c>
      <c r="X85" s="50">
        <f t="shared" si="30"/>
        <v>0</v>
      </c>
      <c r="Y85" s="50">
        <f t="shared" si="31"/>
        <v>27755</v>
      </c>
      <c r="Z85" s="50">
        <f t="shared" si="32"/>
        <v>9251.6669999999995</v>
      </c>
      <c r="AA85" s="50">
        <f t="shared" si="33"/>
        <v>18503.332999999999</v>
      </c>
      <c r="AB85" s="50">
        <f t="shared" si="34"/>
        <v>9251.6669999999995</v>
      </c>
      <c r="AC85" s="50">
        <f t="shared" si="35"/>
        <v>9251.6659999999993</v>
      </c>
      <c r="AD85" s="50">
        <f t="shared" si="36"/>
        <v>9251.6669999999995</v>
      </c>
      <c r="AE85" s="50">
        <f t="shared" si="37"/>
        <v>-1.0000000002037268E-3</v>
      </c>
      <c r="AF85" s="50">
        <f t="shared" si="38"/>
        <v>0</v>
      </c>
      <c r="AG85" s="51" t="str">
        <f t="shared" si="39"/>
        <v xml:space="preserve">11 COMPUTERSALL </v>
      </c>
      <c r="AH85" s="41"/>
      <c r="AI85" s="51">
        <v>8300</v>
      </c>
      <c r="AJ85" s="51" t="s">
        <v>308</v>
      </c>
    </row>
    <row r="86" spans="1:36" ht="15.95" customHeight="1">
      <c r="A86" s="41" t="s">
        <v>310</v>
      </c>
      <c r="B86" s="42" t="s">
        <v>304</v>
      </c>
      <c r="C86" s="43" t="s">
        <v>311</v>
      </c>
      <c r="D86" s="44" t="s">
        <v>312</v>
      </c>
      <c r="E86" s="42" t="s">
        <v>307</v>
      </c>
      <c r="F86" s="42" t="s">
        <v>72</v>
      </c>
      <c r="G86" s="42" t="s">
        <v>308</v>
      </c>
      <c r="H86" s="41">
        <v>2026</v>
      </c>
      <c r="I86" s="45" t="s">
        <v>309</v>
      </c>
      <c r="J86" s="45"/>
      <c r="K86" s="54">
        <v>250</v>
      </c>
      <c r="L86" s="47">
        <v>39515</v>
      </c>
      <c r="M86" s="48">
        <f>+IF(E86="",0,VLOOKUP(E86,[1]Code!J:K,2,0))</f>
        <v>3</v>
      </c>
      <c r="N86" s="49">
        <f t="shared" si="20"/>
        <v>0.33333333333333331</v>
      </c>
      <c r="O86" s="50">
        <f t="shared" si="21"/>
        <v>0</v>
      </c>
      <c r="P86" s="50">
        <f t="shared" si="22"/>
        <v>0</v>
      </c>
      <c r="Q86" s="50">
        <f t="shared" si="23"/>
        <v>0</v>
      </c>
      <c r="R86" s="50">
        <f t="shared" si="24"/>
        <v>0</v>
      </c>
      <c r="S86" s="50">
        <f t="shared" si="25"/>
        <v>0</v>
      </c>
      <c r="T86" s="50">
        <f t="shared" si="26"/>
        <v>0</v>
      </c>
      <c r="U86" s="50">
        <f t="shared" si="27"/>
        <v>0</v>
      </c>
      <c r="V86" s="50">
        <f t="shared" si="28"/>
        <v>0</v>
      </c>
      <c r="W86" s="50">
        <f t="shared" si="29"/>
        <v>0</v>
      </c>
      <c r="X86" s="50">
        <f t="shared" si="30"/>
        <v>0</v>
      </c>
      <c r="Y86" s="50">
        <f t="shared" si="31"/>
        <v>39515</v>
      </c>
      <c r="Z86" s="50">
        <f t="shared" si="32"/>
        <v>13171.666999999999</v>
      </c>
      <c r="AA86" s="50">
        <f t="shared" si="33"/>
        <v>26343.332999999999</v>
      </c>
      <c r="AB86" s="50">
        <f t="shared" si="34"/>
        <v>13171.666999999999</v>
      </c>
      <c r="AC86" s="50">
        <f t="shared" si="35"/>
        <v>13171.665999999999</v>
      </c>
      <c r="AD86" s="50">
        <f t="shared" si="36"/>
        <v>13171.666999999999</v>
      </c>
      <c r="AE86" s="50">
        <f t="shared" si="37"/>
        <v>-1.0000000002037268E-3</v>
      </c>
      <c r="AF86" s="50">
        <f t="shared" si="38"/>
        <v>0</v>
      </c>
      <c r="AG86" s="51" t="str">
        <f t="shared" si="39"/>
        <v xml:space="preserve">11 COMPUTERSALL </v>
      </c>
      <c r="AH86" s="41"/>
      <c r="AI86" s="51" t="s">
        <v>313</v>
      </c>
      <c r="AJ86" s="51" t="s">
        <v>314</v>
      </c>
    </row>
    <row r="87" spans="1:36" ht="15.95" customHeight="1">
      <c r="A87" s="41" t="s">
        <v>315</v>
      </c>
      <c r="B87" s="42" t="s">
        <v>304</v>
      </c>
      <c r="C87" s="43" t="s">
        <v>316</v>
      </c>
      <c r="D87" s="75" t="s">
        <v>317</v>
      </c>
      <c r="E87" s="42" t="s">
        <v>71</v>
      </c>
      <c r="F87" s="42" t="s">
        <v>72</v>
      </c>
      <c r="G87" s="42" t="s">
        <v>308</v>
      </c>
      <c r="H87" s="41">
        <v>2026</v>
      </c>
      <c r="I87" s="45" t="s">
        <v>309</v>
      </c>
      <c r="J87" s="45"/>
      <c r="K87" s="54">
        <v>380</v>
      </c>
      <c r="L87" s="47">
        <v>9455</v>
      </c>
      <c r="M87" s="48">
        <f>+IF(E87="",0,VLOOKUP(E87,[1]Code!J:K,2,0))</f>
        <v>6</v>
      </c>
      <c r="N87" s="49">
        <f t="shared" si="20"/>
        <v>0.16666666666666666</v>
      </c>
      <c r="O87" s="50">
        <f t="shared" si="21"/>
        <v>0</v>
      </c>
      <c r="P87" s="50">
        <f t="shared" si="22"/>
        <v>0</v>
      </c>
      <c r="Q87" s="50">
        <f t="shared" si="23"/>
        <v>0</v>
      </c>
      <c r="R87" s="50">
        <f t="shared" si="24"/>
        <v>0</v>
      </c>
      <c r="S87" s="50">
        <f t="shared" si="25"/>
        <v>0</v>
      </c>
      <c r="T87" s="50">
        <f t="shared" si="26"/>
        <v>0</v>
      </c>
      <c r="U87" s="50">
        <f t="shared" si="27"/>
        <v>0</v>
      </c>
      <c r="V87" s="50">
        <f t="shared" si="28"/>
        <v>0</v>
      </c>
      <c r="W87" s="50">
        <f t="shared" si="29"/>
        <v>0</v>
      </c>
      <c r="X87" s="50">
        <f t="shared" si="30"/>
        <v>0</v>
      </c>
      <c r="Y87" s="50">
        <f t="shared" si="31"/>
        <v>9455</v>
      </c>
      <c r="Z87" s="50">
        <f t="shared" si="32"/>
        <v>1575.8330000000001</v>
      </c>
      <c r="AA87" s="50">
        <f t="shared" si="33"/>
        <v>7879.1669999999995</v>
      </c>
      <c r="AB87" s="50">
        <f t="shared" si="34"/>
        <v>1575.8330000000001</v>
      </c>
      <c r="AC87" s="50">
        <f t="shared" si="35"/>
        <v>6303.3339999999989</v>
      </c>
      <c r="AD87" s="50">
        <f t="shared" si="36"/>
        <v>1575.8330000000001</v>
      </c>
      <c r="AE87" s="50">
        <f t="shared" si="37"/>
        <v>4727.5009999999984</v>
      </c>
      <c r="AF87" s="50">
        <f t="shared" si="38"/>
        <v>1575.8330000000001</v>
      </c>
      <c r="AG87" s="51" t="str">
        <f t="shared" si="39"/>
        <v xml:space="preserve">13 INTANGIBLE ASSETSALL </v>
      </c>
      <c r="AH87" s="41"/>
      <c r="AI87" s="51" t="s">
        <v>313</v>
      </c>
      <c r="AJ87" s="51" t="s">
        <v>314</v>
      </c>
    </row>
    <row r="88" spans="1:36" ht="15.95" customHeight="1">
      <c r="A88" s="41" t="s">
        <v>318</v>
      </c>
      <c r="B88" s="42" t="s">
        <v>304</v>
      </c>
      <c r="C88" s="55" t="s">
        <v>319</v>
      </c>
      <c r="D88" s="75" t="s">
        <v>320</v>
      </c>
      <c r="E88" s="42" t="s">
        <v>307</v>
      </c>
      <c r="F88" s="42" t="s">
        <v>72</v>
      </c>
      <c r="G88" s="42" t="s">
        <v>308</v>
      </c>
      <c r="H88" s="41">
        <v>2026</v>
      </c>
      <c r="I88" s="45" t="s">
        <v>309</v>
      </c>
      <c r="J88" s="45"/>
      <c r="K88" s="54">
        <v>9</v>
      </c>
      <c r="L88" s="47">
        <v>33500</v>
      </c>
      <c r="M88" s="48">
        <f>+IF(E88="",0,VLOOKUP(E88,[1]Code!J:K,2,0))</f>
        <v>3</v>
      </c>
      <c r="N88" s="49">
        <f t="shared" si="20"/>
        <v>0.33333333333333331</v>
      </c>
      <c r="O88" s="50">
        <f t="shared" si="21"/>
        <v>0</v>
      </c>
      <c r="P88" s="50">
        <f t="shared" si="22"/>
        <v>0</v>
      </c>
      <c r="Q88" s="50">
        <f t="shared" si="23"/>
        <v>0</v>
      </c>
      <c r="R88" s="50">
        <f t="shared" si="24"/>
        <v>0</v>
      </c>
      <c r="S88" s="50">
        <f t="shared" si="25"/>
        <v>0</v>
      </c>
      <c r="T88" s="50">
        <f t="shared" si="26"/>
        <v>0</v>
      </c>
      <c r="U88" s="50">
        <f t="shared" si="27"/>
        <v>0</v>
      </c>
      <c r="V88" s="50">
        <f t="shared" si="28"/>
        <v>0</v>
      </c>
      <c r="W88" s="50">
        <f t="shared" si="29"/>
        <v>0</v>
      </c>
      <c r="X88" s="50">
        <f t="shared" si="30"/>
        <v>0</v>
      </c>
      <c r="Y88" s="50">
        <f t="shared" si="31"/>
        <v>33500</v>
      </c>
      <c r="Z88" s="50">
        <f t="shared" si="32"/>
        <v>11166.666999999999</v>
      </c>
      <c r="AA88" s="50">
        <f t="shared" si="33"/>
        <v>22333.332999999999</v>
      </c>
      <c r="AB88" s="50">
        <f t="shared" si="34"/>
        <v>11166.666999999999</v>
      </c>
      <c r="AC88" s="50">
        <f t="shared" si="35"/>
        <v>11166.665999999999</v>
      </c>
      <c r="AD88" s="50">
        <f t="shared" si="36"/>
        <v>11166.666999999999</v>
      </c>
      <c r="AE88" s="50">
        <f t="shared" si="37"/>
        <v>-1.0000000002037268E-3</v>
      </c>
      <c r="AF88" s="50">
        <f t="shared" si="38"/>
        <v>0</v>
      </c>
      <c r="AG88" s="51" t="str">
        <f t="shared" si="39"/>
        <v xml:space="preserve">11 COMPUTERSALL </v>
      </c>
      <c r="AH88" s="41"/>
      <c r="AI88" s="51" t="s">
        <v>313</v>
      </c>
      <c r="AJ88" s="51" t="s">
        <v>314</v>
      </c>
    </row>
    <row r="89" spans="1:36" ht="15.95" customHeight="1">
      <c r="A89" s="76" t="s">
        <v>321</v>
      </c>
      <c r="B89" s="42" t="s">
        <v>304</v>
      </c>
      <c r="C89" s="43" t="s">
        <v>305</v>
      </c>
      <c r="D89" s="52" t="s">
        <v>306</v>
      </c>
      <c r="E89" s="42" t="s">
        <v>307</v>
      </c>
      <c r="F89" s="42" t="s">
        <v>72</v>
      </c>
      <c r="G89" s="42" t="s">
        <v>308</v>
      </c>
      <c r="H89" s="41">
        <v>2026</v>
      </c>
      <c r="I89" s="45" t="s">
        <v>309</v>
      </c>
      <c r="J89" s="45"/>
      <c r="K89" s="54">
        <v>50</v>
      </c>
      <c r="L89" s="54">
        <v>10600</v>
      </c>
      <c r="M89" s="48">
        <f>+IF(E89="",0,VLOOKUP(E89,[1]Code!J:K,2,0))</f>
        <v>3</v>
      </c>
      <c r="N89" s="49">
        <f t="shared" si="20"/>
        <v>0.33333333333333331</v>
      </c>
      <c r="O89" s="50">
        <f t="shared" si="21"/>
        <v>0</v>
      </c>
      <c r="P89" s="50">
        <f t="shared" si="22"/>
        <v>0</v>
      </c>
      <c r="Q89" s="50">
        <f t="shared" si="23"/>
        <v>0</v>
      </c>
      <c r="R89" s="50">
        <f t="shared" si="24"/>
        <v>0</v>
      </c>
      <c r="S89" s="50">
        <f t="shared" si="25"/>
        <v>0</v>
      </c>
      <c r="T89" s="50">
        <f t="shared" si="26"/>
        <v>0</v>
      </c>
      <c r="U89" s="50">
        <f t="shared" si="27"/>
        <v>0</v>
      </c>
      <c r="V89" s="50">
        <f t="shared" si="28"/>
        <v>0</v>
      </c>
      <c r="W89" s="50">
        <f t="shared" si="29"/>
        <v>0</v>
      </c>
      <c r="X89" s="50">
        <f t="shared" si="30"/>
        <v>0</v>
      </c>
      <c r="Y89" s="50">
        <f t="shared" si="31"/>
        <v>10600</v>
      </c>
      <c r="Z89" s="50">
        <f t="shared" si="32"/>
        <v>3533.3330000000001</v>
      </c>
      <c r="AA89" s="50">
        <f t="shared" si="33"/>
        <v>7066.6669999999995</v>
      </c>
      <c r="AB89" s="50">
        <f t="shared" si="34"/>
        <v>3533.3330000000001</v>
      </c>
      <c r="AC89" s="50">
        <f t="shared" si="35"/>
        <v>3533.3339999999994</v>
      </c>
      <c r="AD89" s="50">
        <f t="shared" si="36"/>
        <v>3533.3330000000001</v>
      </c>
      <c r="AE89" s="50">
        <f t="shared" si="37"/>
        <v>9.9999999929423211E-4</v>
      </c>
      <c r="AF89" s="50">
        <f t="shared" si="38"/>
        <v>0</v>
      </c>
      <c r="AG89" s="51" t="str">
        <f t="shared" si="39"/>
        <v xml:space="preserve">11 COMPUTERSALL </v>
      </c>
      <c r="AH89" s="41"/>
      <c r="AI89" s="51" t="s">
        <v>313</v>
      </c>
      <c r="AJ89" s="51" t="s">
        <v>314</v>
      </c>
    </row>
    <row r="90" spans="1:36" ht="15.95" customHeight="1">
      <c r="A90" s="76" t="s">
        <v>322</v>
      </c>
      <c r="B90" s="42" t="s">
        <v>304</v>
      </c>
      <c r="C90" s="43" t="s">
        <v>311</v>
      </c>
      <c r="D90" s="44" t="s">
        <v>312</v>
      </c>
      <c r="E90" s="42" t="s">
        <v>307</v>
      </c>
      <c r="F90" s="42" t="s">
        <v>72</v>
      </c>
      <c r="G90" s="42" t="s">
        <v>308</v>
      </c>
      <c r="H90" s="41">
        <v>2026</v>
      </c>
      <c r="I90" s="45" t="s">
        <v>309</v>
      </c>
      <c r="J90" s="45"/>
      <c r="K90" s="54">
        <v>20</v>
      </c>
      <c r="L90" s="54">
        <v>68060</v>
      </c>
      <c r="M90" s="48">
        <f>+IF(E90="",0,VLOOKUP(E90,[1]Code!J:K,2,0))</f>
        <v>3</v>
      </c>
      <c r="N90" s="49">
        <f t="shared" si="20"/>
        <v>0.33333333333333331</v>
      </c>
      <c r="O90" s="50">
        <f t="shared" si="21"/>
        <v>0</v>
      </c>
      <c r="P90" s="50">
        <f t="shared" si="22"/>
        <v>0</v>
      </c>
      <c r="Q90" s="50">
        <f t="shared" si="23"/>
        <v>0</v>
      </c>
      <c r="R90" s="50">
        <f t="shared" si="24"/>
        <v>0</v>
      </c>
      <c r="S90" s="50">
        <f t="shared" si="25"/>
        <v>0</v>
      </c>
      <c r="T90" s="50">
        <f t="shared" si="26"/>
        <v>0</v>
      </c>
      <c r="U90" s="50">
        <f t="shared" si="27"/>
        <v>0</v>
      </c>
      <c r="V90" s="50">
        <f t="shared" si="28"/>
        <v>0</v>
      </c>
      <c r="W90" s="50">
        <f t="shared" si="29"/>
        <v>0</v>
      </c>
      <c r="X90" s="50">
        <f t="shared" si="30"/>
        <v>0</v>
      </c>
      <c r="Y90" s="50">
        <f t="shared" si="31"/>
        <v>68060</v>
      </c>
      <c r="Z90" s="50">
        <f t="shared" si="32"/>
        <v>22686.667000000001</v>
      </c>
      <c r="AA90" s="50">
        <f t="shared" si="33"/>
        <v>45373.332999999999</v>
      </c>
      <c r="AB90" s="50">
        <f t="shared" si="34"/>
        <v>22686.667000000001</v>
      </c>
      <c r="AC90" s="50">
        <f t="shared" si="35"/>
        <v>22686.665999999997</v>
      </c>
      <c r="AD90" s="50">
        <f t="shared" si="36"/>
        <v>22686.667000000001</v>
      </c>
      <c r="AE90" s="50">
        <f t="shared" si="37"/>
        <v>-1.0000000038417056E-3</v>
      </c>
      <c r="AF90" s="50">
        <f t="shared" si="38"/>
        <v>0</v>
      </c>
      <c r="AG90" s="51" t="str">
        <f t="shared" si="39"/>
        <v xml:space="preserve">11 COMPUTERSALL </v>
      </c>
      <c r="AH90" s="41"/>
      <c r="AI90" s="51" t="s">
        <v>313</v>
      </c>
      <c r="AJ90" s="51" t="s">
        <v>314</v>
      </c>
    </row>
    <row r="91" spans="1:36" ht="15.95" customHeight="1">
      <c r="A91" s="76" t="s">
        <v>323</v>
      </c>
      <c r="B91" s="42" t="s">
        <v>304</v>
      </c>
      <c r="C91" s="43" t="s">
        <v>316</v>
      </c>
      <c r="D91" s="75" t="s">
        <v>317</v>
      </c>
      <c r="E91" s="42" t="s">
        <v>71</v>
      </c>
      <c r="F91" s="42" t="s">
        <v>72</v>
      </c>
      <c r="G91" s="42" t="s">
        <v>308</v>
      </c>
      <c r="H91" s="41">
        <v>2026</v>
      </c>
      <c r="I91" s="45" t="s">
        <v>309</v>
      </c>
      <c r="J91" s="45"/>
      <c r="K91" s="54">
        <v>14</v>
      </c>
      <c r="L91" s="54">
        <v>28340</v>
      </c>
      <c r="M91" s="48">
        <f>+IF(E91="",0,VLOOKUP(E91,[1]Code!J:K,2,0))</f>
        <v>6</v>
      </c>
      <c r="N91" s="49">
        <f t="shared" si="20"/>
        <v>0.16666666666666666</v>
      </c>
      <c r="O91" s="50">
        <f t="shared" si="21"/>
        <v>0</v>
      </c>
      <c r="P91" s="50">
        <f t="shared" si="22"/>
        <v>0</v>
      </c>
      <c r="Q91" s="50">
        <f t="shared" si="23"/>
        <v>0</v>
      </c>
      <c r="R91" s="50">
        <f t="shared" si="24"/>
        <v>0</v>
      </c>
      <c r="S91" s="50">
        <f t="shared" si="25"/>
        <v>0</v>
      </c>
      <c r="T91" s="50">
        <f t="shared" si="26"/>
        <v>0</v>
      </c>
      <c r="U91" s="50">
        <f t="shared" si="27"/>
        <v>0</v>
      </c>
      <c r="V91" s="50">
        <f t="shared" si="28"/>
        <v>0</v>
      </c>
      <c r="W91" s="50">
        <f t="shared" si="29"/>
        <v>0</v>
      </c>
      <c r="X91" s="50">
        <f t="shared" si="30"/>
        <v>0</v>
      </c>
      <c r="Y91" s="50">
        <f t="shared" si="31"/>
        <v>28340</v>
      </c>
      <c r="Z91" s="50">
        <f t="shared" si="32"/>
        <v>4723.3329999999996</v>
      </c>
      <c r="AA91" s="50">
        <f t="shared" si="33"/>
        <v>23616.667000000001</v>
      </c>
      <c r="AB91" s="50">
        <f t="shared" si="34"/>
        <v>4723.3329999999996</v>
      </c>
      <c r="AC91" s="50">
        <f t="shared" si="35"/>
        <v>18893.334000000003</v>
      </c>
      <c r="AD91" s="50">
        <f t="shared" si="36"/>
        <v>4723.3329999999996</v>
      </c>
      <c r="AE91" s="50">
        <f t="shared" si="37"/>
        <v>14170.001000000004</v>
      </c>
      <c r="AF91" s="50">
        <f t="shared" si="38"/>
        <v>4723.3329999999996</v>
      </c>
      <c r="AG91" s="51" t="str">
        <f t="shared" si="39"/>
        <v xml:space="preserve">13 INTANGIBLE ASSETSALL </v>
      </c>
      <c r="AH91" s="41"/>
      <c r="AI91" s="51" t="s">
        <v>313</v>
      </c>
      <c r="AJ91" s="51" t="s">
        <v>314</v>
      </c>
    </row>
    <row r="92" spans="1:36" ht="15.95" customHeight="1">
      <c r="A92" s="76" t="s">
        <v>324</v>
      </c>
      <c r="B92" s="42" t="s">
        <v>304</v>
      </c>
      <c r="C92" s="55" t="s">
        <v>319</v>
      </c>
      <c r="D92" s="75" t="s">
        <v>320</v>
      </c>
      <c r="E92" s="42" t="s">
        <v>307</v>
      </c>
      <c r="F92" s="42" t="s">
        <v>72</v>
      </c>
      <c r="G92" s="42" t="s">
        <v>308</v>
      </c>
      <c r="H92" s="41">
        <v>2026</v>
      </c>
      <c r="I92" s="45" t="s">
        <v>309</v>
      </c>
      <c r="J92" s="45"/>
      <c r="K92" s="54">
        <v>9</v>
      </c>
      <c r="L92" s="54">
        <v>50500</v>
      </c>
      <c r="M92" s="48">
        <f>+IF(E92="",0,VLOOKUP(E92,[1]Code!J:K,2,0))</f>
        <v>3</v>
      </c>
      <c r="N92" s="49">
        <f t="shared" si="20"/>
        <v>0.33333333333333331</v>
      </c>
      <c r="O92" s="50">
        <f t="shared" si="21"/>
        <v>0</v>
      </c>
      <c r="P92" s="50">
        <f t="shared" si="22"/>
        <v>0</v>
      </c>
      <c r="Q92" s="50">
        <f t="shared" si="23"/>
        <v>0</v>
      </c>
      <c r="R92" s="50">
        <f t="shared" si="24"/>
        <v>0</v>
      </c>
      <c r="S92" s="50">
        <f t="shared" si="25"/>
        <v>0</v>
      </c>
      <c r="T92" s="50">
        <f t="shared" si="26"/>
        <v>0</v>
      </c>
      <c r="U92" s="50">
        <f t="shared" si="27"/>
        <v>0</v>
      </c>
      <c r="V92" s="50">
        <f t="shared" si="28"/>
        <v>0</v>
      </c>
      <c r="W92" s="50">
        <f t="shared" si="29"/>
        <v>0</v>
      </c>
      <c r="X92" s="50">
        <f t="shared" si="30"/>
        <v>0</v>
      </c>
      <c r="Y92" s="50">
        <f t="shared" si="31"/>
        <v>50500</v>
      </c>
      <c r="Z92" s="50">
        <f t="shared" si="32"/>
        <v>16833.332999999999</v>
      </c>
      <c r="AA92" s="50">
        <f t="shared" si="33"/>
        <v>33666.667000000001</v>
      </c>
      <c r="AB92" s="50">
        <f t="shared" si="34"/>
        <v>16833.332999999999</v>
      </c>
      <c r="AC92" s="50">
        <f t="shared" si="35"/>
        <v>16833.334000000003</v>
      </c>
      <c r="AD92" s="50">
        <f t="shared" si="36"/>
        <v>16833.332999999999</v>
      </c>
      <c r="AE92" s="50">
        <f t="shared" si="37"/>
        <v>1.0000000038417056E-3</v>
      </c>
      <c r="AF92" s="50">
        <f t="shared" si="38"/>
        <v>0</v>
      </c>
      <c r="AG92" s="51" t="str">
        <f t="shared" si="39"/>
        <v xml:space="preserve">11 COMPUTERSALL </v>
      </c>
      <c r="AH92" s="41"/>
      <c r="AI92" s="51" t="s">
        <v>313</v>
      </c>
      <c r="AJ92" s="51" t="s">
        <v>314</v>
      </c>
    </row>
    <row r="93" spans="1:36" ht="20.25" customHeight="1">
      <c r="A93" s="41" t="s">
        <v>325</v>
      </c>
      <c r="B93" s="42" t="s">
        <v>293</v>
      </c>
      <c r="C93" s="43" t="s">
        <v>326</v>
      </c>
      <c r="D93" s="44" t="s">
        <v>327</v>
      </c>
      <c r="E93" s="42" t="s">
        <v>71</v>
      </c>
      <c r="F93" s="42" t="s">
        <v>72</v>
      </c>
      <c r="G93" s="42" t="s">
        <v>328</v>
      </c>
      <c r="H93" s="41">
        <v>2026</v>
      </c>
      <c r="I93" s="45" t="s">
        <v>329</v>
      </c>
      <c r="J93" s="45"/>
      <c r="K93" s="54">
        <v>1</v>
      </c>
      <c r="L93" s="77">
        <v>700</v>
      </c>
      <c r="M93" s="48">
        <f>+IF(E93="",0,VLOOKUP(E93,[1]Code!J:K,2,0))</f>
        <v>6</v>
      </c>
      <c r="N93" s="49">
        <f t="shared" si="20"/>
        <v>0.16666666666666666</v>
      </c>
      <c r="O93" s="50">
        <f t="shared" si="21"/>
        <v>0</v>
      </c>
      <c r="P93" s="50">
        <f t="shared" si="22"/>
        <v>0</v>
      </c>
      <c r="Q93" s="50">
        <f t="shared" si="23"/>
        <v>0</v>
      </c>
      <c r="R93" s="50">
        <f t="shared" si="24"/>
        <v>0</v>
      </c>
      <c r="S93" s="50">
        <f t="shared" si="25"/>
        <v>0</v>
      </c>
      <c r="T93" s="50">
        <f t="shared" si="26"/>
        <v>0</v>
      </c>
      <c r="U93" s="50">
        <f t="shared" si="27"/>
        <v>0</v>
      </c>
      <c r="V93" s="50">
        <f t="shared" si="28"/>
        <v>0</v>
      </c>
      <c r="W93" s="50">
        <f t="shared" si="29"/>
        <v>0</v>
      </c>
      <c r="X93" s="50">
        <f t="shared" si="30"/>
        <v>0</v>
      </c>
      <c r="Y93" s="50">
        <f t="shared" si="31"/>
        <v>700</v>
      </c>
      <c r="Z93" s="50">
        <f t="shared" si="32"/>
        <v>116.667</v>
      </c>
      <c r="AA93" s="50">
        <f t="shared" si="33"/>
        <v>583.33299999999997</v>
      </c>
      <c r="AB93" s="50">
        <f t="shared" si="34"/>
        <v>116.667</v>
      </c>
      <c r="AC93" s="50">
        <f t="shared" si="35"/>
        <v>466.66599999999994</v>
      </c>
      <c r="AD93" s="50">
        <f t="shared" si="36"/>
        <v>116.667</v>
      </c>
      <c r="AE93" s="50">
        <f t="shared" si="37"/>
        <v>349.99899999999991</v>
      </c>
      <c r="AF93" s="50">
        <f t="shared" si="38"/>
        <v>116.667</v>
      </c>
      <c r="AG93" s="51" t="str">
        <f t="shared" si="39"/>
        <v xml:space="preserve">13 INTANGIBLE ASSETSALL </v>
      </c>
      <c r="AH93" s="41"/>
      <c r="AI93" s="51" t="s">
        <v>330</v>
      </c>
      <c r="AJ93" s="51" t="s">
        <v>331</v>
      </c>
    </row>
    <row r="94" spans="1:36" ht="15.95" customHeight="1">
      <c r="A94" s="41" t="s">
        <v>332</v>
      </c>
      <c r="B94" s="42" t="s">
        <v>293</v>
      </c>
      <c r="C94" s="43" t="s">
        <v>333</v>
      </c>
      <c r="D94" s="52" t="s">
        <v>334</v>
      </c>
      <c r="E94" s="42" t="s">
        <v>71</v>
      </c>
      <c r="F94" s="42" t="s">
        <v>72</v>
      </c>
      <c r="G94" s="42" t="s">
        <v>328</v>
      </c>
      <c r="H94" s="41">
        <v>2026</v>
      </c>
      <c r="I94" s="45" t="s">
        <v>55</v>
      </c>
      <c r="J94" s="45"/>
      <c r="K94" s="54">
        <v>1</v>
      </c>
      <c r="L94" s="77">
        <v>100</v>
      </c>
      <c r="M94" s="48">
        <f>+IF(E94="",0,VLOOKUP(E94,[1]Code!J:K,2,0))</f>
        <v>6</v>
      </c>
      <c r="N94" s="49">
        <f t="shared" si="20"/>
        <v>0.16666666666666666</v>
      </c>
      <c r="O94" s="50">
        <f t="shared" si="21"/>
        <v>0</v>
      </c>
      <c r="P94" s="50">
        <f t="shared" si="22"/>
        <v>0</v>
      </c>
      <c r="Q94" s="50">
        <f t="shared" si="23"/>
        <v>0</v>
      </c>
      <c r="R94" s="50">
        <f t="shared" si="24"/>
        <v>0</v>
      </c>
      <c r="S94" s="50">
        <f t="shared" si="25"/>
        <v>0</v>
      </c>
      <c r="T94" s="50">
        <f t="shared" si="26"/>
        <v>0</v>
      </c>
      <c r="U94" s="50">
        <f t="shared" si="27"/>
        <v>0</v>
      </c>
      <c r="V94" s="50">
        <f t="shared" si="28"/>
        <v>0</v>
      </c>
      <c r="W94" s="50">
        <f t="shared" si="29"/>
        <v>0</v>
      </c>
      <c r="X94" s="50">
        <f t="shared" si="30"/>
        <v>0</v>
      </c>
      <c r="Y94" s="50">
        <f t="shared" si="31"/>
        <v>100</v>
      </c>
      <c r="Z94" s="50">
        <f t="shared" si="32"/>
        <v>16.667000000000002</v>
      </c>
      <c r="AA94" s="50">
        <f t="shared" si="33"/>
        <v>83.332999999999998</v>
      </c>
      <c r="AB94" s="50">
        <f t="shared" si="34"/>
        <v>16.667000000000002</v>
      </c>
      <c r="AC94" s="50">
        <f t="shared" si="35"/>
        <v>66.665999999999997</v>
      </c>
      <c r="AD94" s="50">
        <f t="shared" si="36"/>
        <v>16.667000000000002</v>
      </c>
      <c r="AE94" s="50">
        <f t="shared" si="37"/>
        <v>49.998999999999995</v>
      </c>
      <c r="AF94" s="50">
        <f t="shared" si="38"/>
        <v>16.667000000000002</v>
      </c>
      <c r="AG94" s="51" t="str">
        <f t="shared" si="39"/>
        <v xml:space="preserve">13 INTANGIBLE ASSETSALL </v>
      </c>
      <c r="AH94" s="41"/>
      <c r="AI94" s="51" t="s">
        <v>330</v>
      </c>
      <c r="AJ94" s="51" t="s">
        <v>331</v>
      </c>
    </row>
    <row r="95" spans="1:36" ht="15.95" customHeight="1">
      <c r="A95" s="41" t="s">
        <v>335</v>
      </c>
      <c r="B95" s="42" t="s">
        <v>293</v>
      </c>
      <c r="C95" s="43" t="s">
        <v>336</v>
      </c>
      <c r="D95" s="44" t="s">
        <v>337</v>
      </c>
      <c r="E95" s="42" t="s">
        <v>71</v>
      </c>
      <c r="F95" s="42" t="s">
        <v>72</v>
      </c>
      <c r="G95" s="42" t="s">
        <v>328</v>
      </c>
      <c r="H95" s="41">
        <v>2026</v>
      </c>
      <c r="I95" s="45" t="s">
        <v>55</v>
      </c>
      <c r="J95" s="45"/>
      <c r="K95" s="54">
        <v>1</v>
      </c>
      <c r="L95" s="77">
        <v>50</v>
      </c>
      <c r="M95" s="48">
        <f>+IF(E95="",0,VLOOKUP(E95,[1]Code!J:K,2,0))</f>
        <v>6</v>
      </c>
      <c r="N95" s="49">
        <f t="shared" si="20"/>
        <v>0.16666666666666666</v>
      </c>
      <c r="O95" s="50">
        <f t="shared" si="21"/>
        <v>0</v>
      </c>
      <c r="P95" s="50">
        <f t="shared" si="22"/>
        <v>0</v>
      </c>
      <c r="Q95" s="50">
        <f t="shared" si="23"/>
        <v>0</v>
      </c>
      <c r="R95" s="50">
        <f t="shared" si="24"/>
        <v>0</v>
      </c>
      <c r="S95" s="50">
        <f t="shared" si="25"/>
        <v>0</v>
      </c>
      <c r="T95" s="50">
        <f t="shared" si="26"/>
        <v>0</v>
      </c>
      <c r="U95" s="50">
        <f t="shared" si="27"/>
        <v>0</v>
      </c>
      <c r="V95" s="50">
        <f t="shared" si="28"/>
        <v>0</v>
      </c>
      <c r="W95" s="50">
        <f t="shared" si="29"/>
        <v>0</v>
      </c>
      <c r="X95" s="50">
        <f t="shared" si="30"/>
        <v>0</v>
      </c>
      <c r="Y95" s="50">
        <f t="shared" si="31"/>
        <v>50</v>
      </c>
      <c r="Z95" s="50">
        <f t="shared" si="32"/>
        <v>8.3330000000000002</v>
      </c>
      <c r="AA95" s="50">
        <f t="shared" si="33"/>
        <v>41.667000000000002</v>
      </c>
      <c r="AB95" s="50">
        <f t="shared" si="34"/>
        <v>8.3330000000000002</v>
      </c>
      <c r="AC95" s="50">
        <f t="shared" si="35"/>
        <v>33.334000000000003</v>
      </c>
      <c r="AD95" s="50">
        <f t="shared" si="36"/>
        <v>8.3330000000000002</v>
      </c>
      <c r="AE95" s="50">
        <f t="shared" si="37"/>
        <v>25.001000000000005</v>
      </c>
      <c r="AF95" s="50">
        <f t="shared" si="38"/>
        <v>8.3330000000000002</v>
      </c>
      <c r="AG95" s="51" t="str">
        <f t="shared" si="39"/>
        <v xml:space="preserve">13 INTANGIBLE ASSETSALL </v>
      </c>
      <c r="AH95" s="41"/>
      <c r="AI95" s="51" t="s">
        <v>330</v>
      </c>
      <c r="AJ95" s="51" t="s">
        <v>331</v>
      </c>
    </row>
    <row r="96" spans="1:36" ht="15.95" customHeight="1">
      <c r="A96" s="41" t="s">
        <v>338</v>
      </c>
      <c r="B96" s="42" t="s">
        <v>293</v>
      </c>
      <c r="C96" s="55" t="s">
        <v>339</v>
      </c>
      <c r="D96" s="52" t="s">
        <v>337</v>
      </c>
      <c r="E96" s="42" t="s">
        <v>71</v>
      </c>
      <c r="F96" s="42" t="s">
        <v>72</v>
      </c>
      <c r="G96" s="42" t="s">
        <v>328</v>
      </c>
      <c r="H96" s="41">
        <v>2026</v>
      </c>
      <c r="I96" s="45" t="s">
        <v>55</v>
      </c>
      <c r="J96" s="45"/>
      <c r="K96" s="54">
        <v>1</v>
      </c>
      <c r="L96" s="77">
        <v>50</v>
      </c>
      <c r="M96" s="48">
        <f>+IF(E96="",0,VLOOKUP(E96,[1]Code!J:K,2,0))</f>
        <v>6</v>
      </c>
      <c r="N96" s="49">
        <f t="shared" si="20"/>
        <v>0.16666666666666666</v>
      </c>
      <c r="O96" s="50">
        <f t="shared" si="21"/>
        <v>0</v>
      </c>
      <c r="P96" s="50">
        <f t="shared" si="22"/>
        <v>0</v>
      </c>
      <c r="Q96" s="50">
        <f t="shared" si="23"/>
        <v>0</v>
      </c>
      <c r="R96" s="50">
        <f t="shared" si="24"/>
        <v>0</v>
      </c>
      <c r="S96" s="50">
        <f t="shared" si="25"/>
        <v>0</v>
      </c>
      <c r="T96" s="50">
        <f t="shared" si="26"/>
        <v>0</v>
      </c>
      <c r="U96" s="50">
        <f t="shared" si="27"/>
        <v>0</v>
      </c>
      <c r="V96" s="50">
        <f t="shared" si="28"/>
        <v>0</v>
      </c>
      <c r="W96" s="50">
        <f t="shared" si="29"/>
        <v>0</v>
      </c>
      <c r="X96" s="50">
        <f t="shared" si="30"/>
        <v>0</v>
      </c>
      <c r="Y96" s="50">
        <f t="shared" si="31"/>
        <v>50</v>
      </c>
      <c r="Z96" s="50">
        <f t="shared" si="32"/>
        <v>8.3330000000000002</v>
      </c>
      <c r="AA96" s="50">
        <f t="shared" si="33"/>
        <v>41.667000000000002</v>
      </c>
      <c r="AB96" s="50">
        <f t="shared" si="34"/>
        <v>8.3330000000000002</v>
      </c>
      <c r="AC96" s="50">
        <f t="shared" si="35"/>
        <v>33.334000000000003</v>
      </c>
      <c r="AD96" s="50">
        <f t="shared" si="36"/>
        <v>8.3330000000000002</v>
      </c>
      <c r="AE96" s="50">
        <f t="shared" si="37"/>
        <v>25.001000000000005</v>
      </c>
      <c r="AF96" s="50">
        <f t="shared" si="38"/>
        <v>8.3330000000000002</v>
      </c>
      <c r="AG96" s="51" t="str">
        <f t="shared" si="39"/>
        <v xml:space="preserve">13 INTANGIBLE ASSETSALL </v>
      </c>
      <c r="AH96" s="41"/>
      <c r="AI96" s="51" t="s">
        <v>330</v>
      </c>
      <c r="AJ96" s="51" t="s">
        <v>331</v>
      </c>
    </row>
    <row r="97" spans="1:36" ht="15.95" customHeight="1">
      <c r="A97" s="41" t="s">
        <v>340</v>
      </c>
      <c r="B97" s="42" t="s">
        <v>293</v>
      </c>
      <c r="C97" s="43" t="s">
        <v>341</v>
      </c>
      <c r="D97" s="44" t="s">
        <v>342</v>
      </c>
      <c r="E97" s="42" t="s">
        <v>71</v>
      </c>
      <c r="F97" s="42" t="s">
        <v>72</v>
      </c>
      <c r="G97" s="42" t="s">
        <v>328</v>
      </c>
      <c r="H97" s="41">
        <v>2026</v>
      </c>
      <c r="I97" s="45" t="s">
        <v>55</v>
      </c>
      <c r="J97" s="45"/>
      <c r="K97" s="54">
        <v>1</v>
      </c>
      <c r="L97" s="77">
        <v>500</v>
      </c>
      <c r="M97" s="48">
        <f>+IF(E97="",0,VLOOKUP(E97,[1]Code!J:K,2,0))</f>
        <v>6</v>
      </c>
      <c r="N97" s="49">
        <f t="shared" si="20"/>
        <v>0.16666666666666666</v>
      </c>
      <c r="O97" s="50">
        <f t="shared" si="21"/>
        <v>0</v>
      </c>
      <c r="P97" s="50">
        <f t="shared" si="22"/>
        <v>0</v>
      </c>
      <c r="Q97" s="50">
        <f t="shared" si="23"/>
        <v>0</v>
      </c>
      <c r="R97" s="50">
        <f t="shared" si="24"/>
        <v>0</v>
      </c>
      <c r="S97" s="50">
        <f t="shared" si="25"/>
        <v>0</v>
      </c>
      <c r="T97" s="50">
        <f t="shared" si="26"/>
        <v>0</v>
      </c>
      <c r="U97" s="50">
        <f t="shared" si="27"/>
        <v>0</v>
      </c>
      <c r="V97" s="50">
        <f t="shared" si="28"/>
        <v>0</v>
      </c>
      <c r="W97" s="50">
        <f t="shared" si="29"/>
        <v>0</v>
      </c>
      <c r="X97" s="50">
        <f t="shared" si="30"/>
        <v>0</v>
      </c>
      <c r="Y97" s="50">
        <f t="shared" si="31"/>
        <v>500</v>
      </c>
      <c r="Z97" s="50">
        <f t="shared" si="32"/>
        <v>83.332999999999998</v>
      </c>
      <c r="AA97" s="50">
        <f t="shared" si="33"/>
        <v>416.66700000000003</v>
      </c>
      <c r="AB97" s="50">
        <f t="shared" si="34"/>
        <v>83.332999999999998</v>
      </c>
      <c r="AC97" s="50">
        <f t="shared" si="35"/>
        <v>333.33400000000006</v>
      </c>
      <c r="AD97" s="50">
        <f t="shared" si="36"/>
        <v>83.332999999999998</v>
      </c>
      <c r="AE97" s="50">
        <f t="shared" si="37"/>
        <v>250.00100000000006</v>
      </c>
      <c r="AF97" s="50">
        <f t="shared" si="38"/>
        <v>83.332999999999998</v>
      </c>
      <c r="AG97" s="51" t="str">
        <f t="shared" si="39"/>
        <v xml:space="preserve">13 INTANGIBLE ASSETSALL </v>
      </c>
      <c r="AH97" s="41"/>
      <c r="AI97" s="51" t="s">
        <v>330</v>
      </c>
      <c r="AJ97" s="51" t="s">
        <v>331</v>
      </c>
    </row>
    <row r="98" spans="1:36" ht="22.5" customHeight="1">
      <c r="A98" s="41" t="s">
        <v>343</v>
      </c>
      <c r="B98" s="42" t="s">
        <v>293</v>
      </c>
      <c r="C98" s="43" t="s">
        <v>344</v>
      </c>
      <c r="D98" s="52" t="s">
        <v>345</v>
      </c>
      <c r="E98" s="42" t="s">
        <v>97</v>
      </c>
      <c r="F98" s="42" t="s">
        <v>72</v>
      </c>
      <c r="G98" s="42" t="s">
        <v>328</v>
      </c>
      <c r="H98" s="41">
        <v>2026</v>
      </c>
      <c r="I98" s="45" t="s">
        <v>55</v>
      </c>
      <c r="J98" s="45"/>
      <c r="K98" s="54">
        <v>20</v>
      </c>
      <c r="L98" s="77">
        <f>(80000*K98)/1000</f>
        <v>1600</v>
      </c>
      <c r="M98" s="48">
        <f>+IF(E98="",0,VLOOKUP(E98,[1]Code!J:K,2,0))</f>
        <v>5</v>
      </c>
      <c r="N98" s="49">
        <f t="shared" si="20"/>
        <v>0.2</v>
      </c>
      <c r="O98" s="50">
        <f t="shared" si="21"/>
        <v>0</v>
      </c>
      <c r="P98" s="50">
        <f t="shared" si="22"/>
        <v>0</v>
      </c>
      <c r="Q98" s="50">
        <f t="shared" si="23"/>
        <v>0</v>
      </c>
      <c r="R98" s="50">
        <f t="shared" si="24"/>
        <v>0</v>
      </c>
      <c r="S98" s="50">
        <f t="shared" si="25"/>
        <v>0</v>
      </c>
      <c r="T98" s="50">
        <f t="shared" si="26"/>
        <v>0</v>
      </c>
      <c r="U98" s="50">
        <f t="shared" si="27"/>
        <v>0</v>
      </c>
      <c r="V98" s="50">
        <f t="shared" si="28"/>
        <v>0</v>
      </c>
      <c r="W98" s="50">
        <f t="shared" si="29"/>
        <v>0</v>
      </c>
      <c r="X98" s="50">
        <f t="shared" si="30"/>
        <v>0</v>
      </c>
      <c r="Y98" s="50">
        <f t="shared" si="31"/>
        <v>1600</v>
      </c>
      <c r="Z98" s="50">
        <f t="shared" si="32"/>
        <v>320</v>
      </c>
      <c r="AA98" s="50">
        <f t="shared" si="33"/>
        <v>1280</v>
      </c>
      <c r="AB98" s="50">
        <f t="shared" si="34"/>
        <v>320</v>
      </c>
      <c r="AC98" s="50">
        <f t="shared" si="35"/>
        <v>960</v>
      </c>
      <c r="AD98" s="50">
        <f t="shared" si="36"/>
        <v>320</v>
      </c>
      <c r="AE98" s="50">
        <f t="shared" si="37"/>
        <v>640</v>
      </c>
      <c r="AF98" s="50">
        <f t="shared" si="38"/>
        <v>320</v>
      </c>
      <c r="AG98" s="51" t="str">
        <f t="shared" si="39"/>
        <v xml:space="preserve">14 OFFICE EQUIPMENTSALL </v>
      </c>
      <c r="AH98" s="41"/>
      <c r="AI98" s="51" t="s">
        <v>330</v>
      </c>
      <c r="AJ98" s="51" t="s">
        <v>331</v>
      </c>
    </row>
    <row r="99" spans="1:36" ht="15.95" customHeight="1">
      <c r="A99" s="41" t="s">
        <v>346</v>
      </c>
      <c r="B99" s="42" t="s">
        <v>95</v>
      </c>
      <c r="C99" s="43" t="s">
        <v>347</v>
      </c>
      <c r="D99" s="52" t="s">
        <v>348</v>
      </c>
      <c r="E99" s="42" t="s">
        <v>90</v>
      </c>
      <c r="F99" s="42" t="s">
        <v>72</v>
      </c>
      <c r="G99" s="42" t="s">
        <v>328</v>
      </c>
      <c r="H99" s="41">
        <v>2026</v>
      </c>
      <c r="I99" s="45" t="s">
        <v>55</v>
      </c>
      <c r="J99" s="45"/>
      <c r="K99" s="54">
        <v>2</v>
      </c>
      <c r="L99" s="77">
        <f>(35000*K99)/1000</f>
        <v>70</v>
      </c>
      <c r="M99" s="48">
        <f>+IF(E99="",0,VLOOKUP(E99,[1]Code!J:K,2,0))</f>
        <v>10</v>
      </c>
      <c r="N99" s="49">
        <f t="shared" si="20"/>
        <v>0.1</v>
      </c>
      <c r="O99" s="50">
        <f t="shared" si="21"/>
        <v>0</v>
      </c>
      <c r="P99" s="50">
        <f t="shared" si="22"/>
        <v>0</v>
      </c>
      <c r="Q99" s="50">
        <f t="shared" si="23"/>
        <v>0</v>
      </c>
      <c r="R99" s="50">
        <f t="shared" si="24"/>
        <v>0</v>
      </c>
      <c r="S99" s="50">
        <f t="shared" si="25"/>
        <v>0</v>
      </c>
      <c r="T99" s="50">
        <f t="shared" si="26"/>
        <v>0</v>
      </c>
      <c r="U99" s="50">
        <f t="shared" si="27"/>
        <v>0</v>
      </c>
      <c r="V99" s="50">
        <f t="shared" si="28"/>
        <v>0</v>
      </c>
      <c r="W99" s="50">
        <f t="shared" si="29"/>
        <v>0</v>
      </c>
      <c r="X99" s="50">
        <f t="shared" si="30"/>
        <v>0</v>
      </c>
      <c r="Y99" s="50">
        <f t="shared" si="31"/>
        <v>70</v>
      </c>
      <c r="Z99" s="50">
        <f t="shared" si="32"/>
        <v>7</v>
      </c>
      <c r="AA99" s="50">
        <f t="shared" si="33"/>
        <v>63</v>
      </c>
      <c r="AB99" s="50">
        <f t="shared" si="34"/>
        <v>7</v>
      </c>
      <c r="AC99" s="50">
        <f t="shared" si="35"/>
        <v>56</v>
      </c>
      <c r="AD99" s="50">
        <f t="shared" si="36"/>
        <v>7</v>
      </c>
      <c r="AE99" s="50">
        <f t="shared" si="37"/>
        <v>49</v>
      </c>
      <c r="AF99" s="50">
        <f t="shared" si="38"/>
        <v>7</v>
      </c>
      <c r="AG99" s="51" t="str">
        <f t="shared" si="39"/>
        <v xml:space="preserve">12 FURNITURE &amp; FIXTUREALL </v>
      </c>
      <c r="AH99" s="41"/>
      <c r="AI99" s="51" t="s">
        <v>330</v>
      </c>
      <c r="AJ99" s="51" t="s">
        <v>331</v>
      </c>
    </row>
    <row r="100" spans="1:36" ht="15.95" customHeight="1">
      <c r="A100" s="41" t="s">
        <v>349</v>
      </c>
      <c r="B100" s="42" t="s">
        <v>350</v>
      </c>
      <c r="C100" s="43" t="s">
        <v>351</v>
      </c>
      <c r="D100" s="44" t="s">
        <v>352</v>
      </c>
      <c r="E100" s="42" t="s">
        <v>353</v>
      </c>
      <c r="F100" s="42" t="s">
        <v>354</v>
      </c>
      <c r="G100" s="42" t="s">
        <v>355</v>
      </c>
      <c r="H100" s="41">
        <v>2026</v>
      </c>
      <c r="I100" s="45" t="s">
        <v>356</v>
      </c>
      <c r="J100" s="45"/>
      <c r="K100" s="54"/>
      <c r="L100" s="47">
        <v>63000</v>
      </c>
      <c r="M100" s="48">
        <f>+IF(E100="",0,VLOOKUP(E100,[1]Code!J:K,2,0))</f>
        <v>5</v>
      </c>
      <c r="N100" s="49">
        <f t="shared" si="20"/>
        <v>0.2</v>
      </c>
      <c r="O100" s="50">
        <f t="shared" si="21"/>
        <v>0</v>
      </c>
      <c r="P100" s="50">
        <f t="shared" si="22"/>
        <v>0</v>
      </c>
      <c r="Q100" s="50">
        <f t="shared" si="23"/>
        <v>0</v>
      </c>
      <c r="R100" s="50">
        <f t="shared" si="24"/>
        <v>0</v>
      </c>
      <c r="S100" s="50">
        <f t="shared" si="25"/>
        <v>0</v>
      </c>
      <c r="T100" s="50">
        <f t="shared" si="26"/>
        <v>0</v>
      </c>
      <c r="U100" s="50">
        <f t="shared" si="27"/>
        <v>0</v>
      </c>
      <c r="V100" s="50">
        <f t="shared" si="28"/>
        <v>0</v>
      </c>
      <c r="W100" s="50">
        <f t="shared" si="29"/>
        <v>0</v>
      </c>
      <c r="X100" s="50">
        <f t="shared" si="30"/>
        <v>0</v>
      </c>
      <c r="Y100" s="50">
        <f t="shared" si="31"/>
        <v>63000</v>
      </c>
      <c r="Z100" s="50">
        <f t="shared" si="32"/>
        <v>12600</v>
      </c>
      <c r="AA100" s="50">
        <f t="shared" si="33"/>
        <v>50400</v>
      </c>
      <c r="AB100" s="50">
        <f t="shared" si="34"/>
        <v>12600</v>
      </c>
      <c r="AC100" s="50">
        <f t="shared" si="35"/>
        <v>37800</v>
      </c>
      <c r="AD100" s="50">
        <f t="shared" si="36"/>
        <v>12600</v>
      </c>
      <c r="AE100" s="50">
        <f t="shared" si="37"/>
        <v>25200</v>
      </c>
      <c r="AF100" s="50">
        <f t="shared" si="38"/>
        <v>12600</v>
      </c>
      <c r="AG100" s="51" t="str">
        <f t="shared" si="39"/>
        <v>9 DIESCommon model</v>
      </c>
      <c r="AH100" s="41"/>
      <c r="AI100" s="51" t="s">
        <v>357</v>
      </c>
      <c r="AJ100" s="51" t="s">
        <v>358</v>
      </c>
    </row>
    <row r="101" spans="1:36" ht="15.95" customHeight="1">
      <c r="A101" s="41" t="s">
        <v>359</v>
      </c>
      <c r="B101" s="42" t="s">
        <v>350</v>
      </c>
      <c r="C101" s="43" t="s">
        <v>360</v>
      </c>
      <c r="D101" s="78" t="s">
        <v>361</v>
      </c>
      <c r="E101" s="42" t="s">
        <v>353</v>
      </c>
      <c r="F101" s="42" t="s">
        <v>354</v>
      </c>
      <c r="G101" s="42" t="s">
        <v>355</v>
      </c>
      <c r="H101" s="41">
        <v>2026</v>
      </c>
      <c r="I101" s="45" t="s">
        <v>356</v>
      </c>
      <c r="J101" s="45"/>
      <c r="K101" s="54"/>
      <c r="L101" s="47">
        <v>3000</v>
      </c>
      <c r="M101" s="48">
        <f>+IF(E101="",0,VLOOKUP(E101,[1]Code!J:K,2,0))</f>
        <v>5</v>
      </c>
      <c r="N101" s="49">
        <f t="shared" si="20"/>
        <v>0.2</v>
      </c>
      <c r="O101" s="50">
        <f t="shared" si="21"/>
        <v>0</v>
      </c>
      <c r="P101" s="50">
        <f t="shared" si="22"/>
        <v>0</v>
      </c>
      <c r="Q101" s="50">
        <f t="shared" si="23"/>
        <v>0</v>
      </c>
      <c r="R101" s="50">
        <f t="shared" si="24"/>
        <v>0</v>
      </c>
      <c r="S101" s="50">
        <f t="shared" si="25"/>
        <v>0</v>
      </c>
      <c r="T101" s="50">
        <f t="shared" si="26"/>
        <v>0</v>
      </c>
      <c r="U101" s="50">
        <f t="shared" si="27"/>
        <v>0</v>
      </c>
      <c r="V101" s="50">
        <f t="shared" si="28"/>
        <v>0</v>
      </c>
      <c r="W101" s="50">
        <f t="shared" si="29"/>
        <v>0</v>
      </c>
      <c r="X101" s="50">
        <f t="shared" si="30"/>
        <v>0</v>
      </c>
      <c r="Y101" s="50">
        <f t="shared" si="31"/>
        <v>3000</v>
      </c>
      <c r="Z101" s="50">
        <f t="shared" si="32"/>
        <v>600</v>
      </c>
      <c r="AA101" s="50">
        <f t="shared" si="33"/>
        <v>2400</v>
      </c>
      <c r="AB101" s="50">
        <f t="shared" si="34"/>
        <v>600</v>
      </c>
      <c r="AC101" s="50">
        <f t="shared" si="35"/>
        <v>1800</v>
      </c>
      <c r="AD101" s="50">
        <f t="shared" si="36"/>
        <v>600</v>
      </c>
      <c r="AE101" s="50">
        <f t="shared" si="37"/>
        <v>1200</v>
      </c>
      <c r="AF101" s="50">
        <f t="shared" si="38"/>
        <v>600</v>
      </c>
      <c r="AG101" s="51" t="str">
        <f t="shared" si="39"/>
        <v>9 DIESCommon model</v>
      </c>
      <c r="AH101" s="41"/>
      <c r="AI101" s="51" t="s">
        <v>357</v>
      </c>
      <c r="AJ101" s="51" t="s">
        <v>358</v>
      </c>
    </row>
    <row r="102" spans="1:36" ht="15.95" customHeight="1">
      <c r="A102" s="41" t="s">
        <v>362</v>
      </c>
      <c r="B102" s="42" t="s">
        <v>350</v>
      </c>
      <c r="C102" s="43" t="s">
        <v>363</v>
      </c>
      <c r="D102" s="44" t="s">
        <v>364</v>
      </c>
      <c r="E102" s="42" t="s">
        <v>353</v>
      </c>
      <c r="F102" s="42" t="s">
        <v>354</v>
      </c>
      <c r="G102" s="42" t="s">
        <v>355</v>
      </c>
      <c r="H102" s="41">
        <v>2026</v>
      </c>
      <c r="I102" s="45" t="s">
        <v>356</v>
      </c>
      <c r="J102" s="45"/>
      <c r="K102" s="54"/>
      <c r="L102" s="47">
        <v>5000</v>
      </c>
      <c r="M102" s="48">
        <f>+IF(E102="",0,VLOOKUP(E102,[1]Code!J:K,2,0))</f>
        <v>5</v>
      </c>
      <c r="N102" s="49">
        <f t="shared" si="20"/>
        <v>0.2</v>
      </c>
      <c r="O102" s="50">
        <f t="shared" si="21"/>
        <v>0</v>
      </c>
      <c r="P102" s="50">
        <f t="shared" si="22"/>
        <v>0</v>
      </c>
      <c r="Q102" s="50">
        <f t="shared" si="23"/>
        <v>0</v>
      </c>
      <c r="R102" s="50">
        <f t="shared" si="24"/>
        <v>0</v>
      </c>
      <c r="S102" s="50">
        <f t="shared" si="25"/>
        <v>0</v>
      </c>
      <c r="T102" s="50">
        <f t="shared" si="26"/>
        <v>0</v>
      </c>
      <c r="U102" s="50">
        <f t="shared" si="27"/>
        <v>0</v>
      </c>
      <c r="V102" s="50">
        <f t="shared" si="28"/>
        <v>0</v>
      </c>
      <c r="W102" s="50">
        <f t="shared" si="29"/>
        <v>0</v>
      </c>
      <c r="X102" s="50">
        <f t="shared" si="30"/>
        <v>0</v>
      </c>
      <c r="Y102" s="50">
        <f t="shared" si="31"/>
        <v>5000</v>
      </c>
      <c r="Z102" s="50">
        <f t="shared" si="32"/>
        <v>1000</v>
      </c>
      <c r="AA102" s="50">
        <f t="shared" si="33"/>
        <v>4000</v>
      </c>
      <c r="AB102" s="50">
        <f t="shared" si="34"/>
        <v>1000</v>
      </c>
      <c r="AC102" s="50">
        <f t="shared" si="35"/>
        <v>3000</v>
      </c>
      <c r="AD102" s="50">
        <f t="shared" si="36"/>
        <v>1000</v>
      </c>
      <c r="AE102" s="50">
        <f t="shared" si="37"/>
        <v>2000</v>
      </c>
      <c r="AF102" s="50">
        <f t="shared" si="38"/>
        <v>1000</v>
      </c>
      <c r="AG102" s="51" t="str">
        <f t="shared" si="39"/>
        <v>9 DIESCommon model</v>
      </c>
      <c r="AH102" s="41"/>
      <c r="AI102" s="51" t="s">
        <v>357</v>
      </c>
      <c r="AJ102" s="51" t="s">
        <v>358</v>
      </c>
    </row>
    <row r="103" spans="1:36" ht="15.95" customHeight="1">
      <c r="A103" s="41" t="s">
        <v>365</v>
      </c>
      <c r="B103" s="42" t="s">
        <v>350</v>
      </c>
      <c r="C103" s="43" t="s">
        <v>366</v>
      </c>
      <c r="D103" s="52" t="s">
        <v>364</v>
      </c>
      <c r="E103" s="42" t="s">
        <v>353</v>
      </c>
      <c r="F103" s="42" t="s">
        <v>354</v>
      </c>
      <c r="G103" s="42" t="s">
        <v>355</v>
      </c>
      <c r="H103" s="41">
        <v>2026</v>
      </c>
      <c r="I103" s="45" t="s">
        <v>356</v>
      </c>
      <c r="J103" s="45"/>
      <c r="K103" s="54"/>
      <c r="L103" s="47">
        <v>98000</v>
      </c>
      <c r="M103" s="48">
        <f>+IF(E103="",0,VLOOKUP(E103,[1]Code!J:K,2,0))</f>
        <v>5</v>
      </c>
      <c r="N103" s="49">
        <f t="shared" si="20"/>
        <v>0.2</v>
      </c>
      <c r="O103" s="50">
        <f t="shared" si="21"/>
        <v>0</v>
      </c>
      <c r="P103" s="50">
        <f t="shared" si="22"/>
        <v>0</v>
      </c>
      <c r="Q103" s="50">
        <f t="shared" si="23"/>
        <v>0</v>
      </c>
      <c r="R103" s="50">
        <f t="shared" si="24"/>
        <v>0</v>
      </c>
      <c r="S103" s="50">
        <f t="shared" si="25"/>
        <v>0</v>
      </c>
      <c r="T103" s="50">
        <f t="shared" si="26"/>
        <v>0</v>
      </c>
      <c r="U103" s="50">
        <f t="shared" si="27"/>
        <v>0</v>
      </c>
      <c r="V103" s="50">
        <f t="shared" si="28"/>
        <v>0</v>
      </c>
      <c r="W103" s="50">
        <f t="shared" si="29"/>
        <v>0</v>
      </c>
      <c r="X103" s="50">
        <f t="shared" si="30"/>
        <v>0</v>
      </c>
      <c r="Y103" s="50">
        <f t="shared" si="31"/>
        <v>98000</v>
      </c>
      <c r="Z103" s="50">
        <f t="shared" si="32"/>
        <v>19600</v>
      </c>
      <c r="AA103" s="50">
        <f t="shared" si="33"/>
        <v>78400</v>
      </c>
      <c r="AB103" s="50">
        <f t="shared" si="34"/>
        <v>19600</v>
      </c>
      <c r="AC103" s="50">
        <f t="shared" si="35"/>
        <v>58800</v>
      </c>
      <c r="AD103" s="50">
        <f t="shared" si="36"/>
        <v>19600</v>
      </c>
      <c r="AE103" s="50">
        <f t="shared" si="37"/>
        <v>39200</v>
      </c>
      <c r="AF103" s="50">
        <f t="shared" si="38"/>
        <v>19600</v>
      </c>
      <c r="AG103" s="51" t="str">
        <f t="shared" si="39"/>
        <v>9 DIESCommon model</v>
      </c>
      <c r="AH103" s="41"/>
      <c r="AI103" s="51" t="s">
        <v>357</v>
      </c>
      <c r="AJ103" s="51" t="s">
        <v>358</v>
      </c>
    </row>
    <row r="104" spans="1:36" ht="15.95" customHeight="1">
      <c r="A104" s="41" t="s">
        <v>367</v>
      </c>
      <c r="B104" s="42" t="s">
        <v>350</v>
      </c>
      <c r="C104" s="43" t="s">
        <v>368</v>
      </c>
      <c r="D104" s="52" t="s">
        <v>364</v>
      </c>
      <c r="E104" s="42" t="s">
        <v>353</v>
      </c>
      <c r="F104" s="42" t="s">
        <v>354</v>
      </c>
      <c r="G104" s="42" t="s">
        <v>355</v>
      </c>
      <c r="H104" s="41">
        <v>2026</v>
      </c>
      <c r="I104" s="45" t="s">
        <v>356</v>
      </c>
      <c r="J104" s="45"/>
      <c r="K104" s="54"/>
      <c r="L104" s="47">
        <v>0</v>
      </c>
      <c r="M104" s="48">
        <f>+IF(E104="",0,VLOOKUP(E104,[1]Code!J:K,2,0))</f>
        <v>5</v>
      </c>
      <c r="N104" s="49">
        <f t="shared" si="20"/>
        <v>0.2</v>
      </c>
      <c r="O104" s="50">
        <f t="shared" si="21"/>
        <v>0</v>
      </c>
      <c r="P104" s="50">
        <f t="shared" si="22"/>
        <v>0</v>
      </c>
      <c r="Q104" s="50">
        <f t="shared" si="23"/>
        <v>0</v>
      </c>
      <c r="R104" s="50">
        <f t="shared" si="24"/>
        <v>0</v>
      </c>
      <c r="S104" s="50">
        <f t="shared" si="25"/>
        <v>0</v>
      </c>
      <c r="T104" s="50">
        <f t="shared" si="26"/>
        <v>0</v>
      </c>
      <c r="U104" s="50">
        <f t="shared" si="27"/>
        <v>0</v>
      </c>
      <c r="V104" s="50">
        <f t="shared" si="28"/>
        <v>0</v>
      </c>
      <c r="W104" s="50">
        <f t="shared" si="29"/>
        <v>0</v>
      </c>
      <c r="X104" s="50">
        <f t="shared" si="30"/>
        <v>0</v>
      </c>
      <c r="Y104" s="50">
        <f t="shared" si="31"/>
        <v>0</v>
      </c>
      <c r="Z104" s="50">
        <f t="shared" si="32"/>
        <v>0</v>
      </c>
      <c r="AA104" s="50">
        <f t="shared" si="33"/>
        <v>0</v>
      </c>
      <c r="AB104" s="50">
        <f t="shared" si="34"/>
        <v>0</v>
      </c>
      <c r="AC104" s="50">
        <f t="shared" si="35"/>
        <v>0</v>
      </c>
      <c r="AD104" s="50">
        <f t="shared" si="36"/>
        <v>0</v>
      </c>
      <c r="AE104" s="50">
        <f t="shared" si="37"/>
        <v>0</v>
      </c>
      <c r="AF104" s="50">
        <f t="shared" si="38"/>
        <v>0</v>
      </c>
      <c r="AG104" s="51" t="str">
        <f t="shared" si="39"/>
        <v>9 DIESCommon model</v>
      </c>
      <c r="AH104" s="41"/>
      <c r="AI104" s="51" t="s">
        <v>357</v>
      </c>
      <c r="AJ104" s="51" t="s">
        <v>358</v>
      </c>
    </row>
    <row r="105" spans="1:36" ht="15.95" customHeight="1">
      <c r="A105" s="41" t="s">
        <v>369</v>
      </c>
      <c r="B105" s="42" t="s">
        <v>350</v>
      </c>
      <c r="C105" s="43" t="s">
        <v>370</v>
      </c>
      <c r="D105" s="52" t="s">
        <v>371</v>
      </c>
      <c r="E105" s="42" t="s">
        <v>353</v>
      </c>
      <c r="F105" s="42" t="s">
        <v>354</v>
      </c>
      <c r="G105" s="42" t="s">
        <v>355</v>
      </c>
      <c r="H105" s="41">
        <v>2026</v>
      </c>
      <c r="I105" s="45" t="s">
        <v>356</v>
      </c>
      <c r="J105" s="45"/>
      <c r="K105" s="54"/>
      <c r="L105" s="47">
        <v>894910.00000000012</v>
      </c>
      <c r="M105" s="48">
        <f>+IF(E105="",0,VLOOKUP(E105,[1]Code!J:K,2,0))</f>
        <v>5</v>
      </c>
      <c r="N105" s="49">
        <f t="shared" si="20"/>
        <v>0.2</v>
      </c>
      <c r="O105" s="50">
        <f t="shared" si="21"/>
        <v>0</v>
      </c>
      <c r="P105" s="50">
        <f t="shared" si="22"/>
        <v>0</v>
      </c>
      <c r="Q105" s="50">
        <f t="shared" si="23"/>
        <v>0</v>
      </c>
      <c r="R105" s="50">
        <f t="shared" si="24"/>
        <v>0</v>
      </c>
      <c r="S105" s="50">
        <f t="shared" si="25"/>
        <v>0</v>
      </c>
      <c r="T105" s="50">
        <f t="shared" si="26"/>
        <v>0</v>
      </c>
      <c r="U105" s="50">
        <f t="shared" si="27"/>
        <v>0</v>
      </c>
      <c r="V105" s="50">
        <f t="shared" si="28"/>
        <v>0</v>
      </c>
      <c r="W105" s="50">
        <f t="shared" si="29"/>
        <v>0</v>
      </c>
      <c r="X105" s="50">
        <f t="shared" si="30"/>
        <v>0</v>
      </c>
      <c r="Y105" s="50">
        <f t="shared" si="31"/>
        <v>894910.00000000012</v>
      </c>
      <c r="Z105" s="50">
        <f t="shared" si="32"/>
        <v>178982</v>
      </c>
      <c r="AA105" s="50">
        <f t="shared" si="33"/>
        <v>715928.00000000012</v>
      </c>
      <c r="AB105" s="50">
        <f t="shared" si="34"/>
        <v>178982</v>
      </c>
      <c r="AC105" s="50">
        <f t="shared" si="35"/>
        <v>536946.00000000012</v>
      </c>
      <c r="AD105" s="50">
        <f t="shared" si="36"/>
        <v>178982</v>
      </c>
      <c r="AE105" s="50">
        <f t="shared" si="37"/>
        <v>357964.00000000012</v>
      </c>
      <c r="AF105" s="50">
        <f t="shared" si="38"/>
        <v>178982</v>
      </c>
      <c r="AG105" s="51" t="str">
        <f t="shared" si="39"/>
        <v>9 DIESCommon model</v>
      </c>
      <c r="AH105" s="41"/>
      <c r="AI105" s="51" t="s">
        <v>357</v>
      </c>
      <c r="AJ105" s="51" t="s">
        <v>358</v>
      </c>
    </row>
    <row r="106" spans="1:36" ht="15.95" customHeight="1">
      <c r="A106" s="41" t="s">
        <v>372</v>
      </c>
      <c r="B106" s="42" t="s">
        <v>350</v>
      </c>
      <c r="C106" s="43" t="s">
        <v>373</v>
      </c>
      <c r="D106" s="52" t="s">
        <v>374</v>
      </c>
      <c r="E106" s="42" t="s">
        <v>353</v>
      </c>
      <c r="F106" s="42" t="s">
        <v>354</v>
      </c>
      <c r="G106" s="42" t="s">
        <v>355</v>
      </c>
      <c r="H106" s="41">
        <v>2026</v>
      </c>
      <c r="I106" s="45" t="s">
        <v>356</v>
      </c>
      <c r="J106" s="45"/>
      <c r="K106" s="54"/>
      <c r="L106" s="47">
        <v>45000</v>
      </c>
      <c r="M106" s="48">
        <f>+IF(E106="",0,VLOOKUP(E106,[1]Code!J:K,2,0))</f>
        <v>5</v>
      </c>
      <c r="N106" s="49">
        <f t="shared" si="20"/>
        <v>0.2</v>
      </c>
      <c r="O106" s="50">
        <f t="shared" si="21"/>
        <v>0</v>
      </c>
      <c r="P106" s="50">
        <f t="shared" si="22"/>
        <v>0</v>
      </c>
      <c r="Q106" s="50">
        <f t="shared" si="23"/>
        <v>0</v>
      </c>
      <c r="R106" s="50">
        <f t="shared" si="24"/>
        <v>0</v>
      </c>
      <c r="S106" s="50">
        <f t="shared" si="25"/>
        <v>0</v>
      </c>
      <c r="T106" s="50">
        <f t="shared" si="26"/>
        <v>0</v>
      </c>
      <c r="U106" s="50">
        <f t="shared" si="27"/>
        <v>0</v>
      </c>
      <c r="V106" s="50">
        <f t="shared" si="28"/>
        <v>0</v>
      </c>
      <c r="W106" s="50">
        <f t="shared" si="29"/>
        <v>0</v>
      </c>
      <c r="X106" s="50">
        <f t="shared" si="30"/>
        <v>0</v>
      </c>
      <c r="Y106" s="50">
        <f t="shared" si="31"/>
        <v>45000</v>
      </c>
      <c r="Z106" s="50">
        <f t="shared" si="32"/>
        <v>9000</v>
      </c>
      <c r="AA106" s="50">
        <f t="shared" si="33"/>
        <v>36000</v>
      </c>
      <c r="AB106" s="50">
        <f t="shared" si="34"/>
        <v>9000</v>
      </c>
      <c r="AC106" s="50">
        <f t="shared" si="35"/>
        <v>27000</v>
      </c>
      <c r="AD106" s="50">
        <f t="shared" si="36"/>
        <v>9000</v>
      </c>
      <c r="AE106" s="50">
        <f t="shared" si="37"/>
        <v>18000</v>
      </c>
      <c r="AF106" s="50">
        <f t="shared" si="38"/>
        <v>9000</v>
      </c>
      <c r="AG106" s="51" t="str">
        <f t="shared" si="39"/>
        <v>9 DIESCommon model</v>
      </c>
      <c r="AH106" s="41"/>
      <c r="AI106" s="51" t="s">
        <v>357</v>
      </c>
      <c r="AJ106" s="51" t="s">
        <v>358</v>
      </c>
    </row>
    <row r="107" spans="1:36" ht="15.95" customHeight="1">
      <c r="A107" s="41" t="s">
        <v>375</v>
      </c>
      <c r="B107" s="42" t="s">
        <v>350</v>
      </c>
      <c r="C107" s="43" t="s">
        <v>376</v>
      </c>
      <c r="D107" s="52" t="s">
        <v>377</v>
      </c>
      <c r="E107" s="42" t="s">
        <v>353</v>
      </c>
      <c r="F107" s="42" t="s">
        <v>354</v>
      </c>
      <c r="G107" s="42" t="s">
        <v>355</v>
      </c>
      <c r="H107" s="41">
        <v>2026</v>
      </c>
      <c r="I107" s="45" t="s">
        <v>356</v>
      </c>
      <c r="J107" s="45"/>
      <c r="K107" s="54"/>
      <c r="L107" s="47">
        <v>0</v>
      </c>
      <c r="M107" s="48">
        <f>+IF(E107="",0,VLOOKUP(E107,[1]Code!J:K,2,0))</f>
        <v>5</v>
      </c>
      <c r="N107" s="49">
        <f t="shared" si="20"/>
        <v>0.2</v>
      </c>
      <c r="O107" s="50">
        <f t="shared" si="21"/>
        <v>0</v>
      </c>
      <c r="P107" s="50">
        <f t="shared" si="22"/>
        <v>0</v>
      </c>
      <c r="Q107" s="50">
        <f t="shared" si="23"/>
        <v>0</v>
      </c>
      <c r="R107" s="50">
        <f t="shared" si="24"/>
        <v>0</v>
      </c>
      <c r="S107" s="50">
        <f t="shared" si="25"/>
        <v>0</v>
      </c>
      <c r="T107" s="50">
        <f t="shared" si="26"/>
        <v>0</v>
      </c>
      <c r="U107" s="50">
        <f t="shared" si="27"/>
        <v>0</v>
      </c>
      <c r="V107" s="50">
        <f t="shared" si="28"/>
        <v>0</v>
      </c>
      <c r="W107" s="50">
        <f t="shared" si="29"/>
        <v>0</v>
      </c>
      <c r="X107" s="50">
        <f t="shared" si="30"/>
        <v>0</v>
      </c>
      <c r="Y107" s="50">
        <f t="shared" si="31"/>
        <v>0</v>
      </c>
      <c r="Z107" s="50">
        <f t="shared" si="32"/>
        <v>0</v>
      </c>
      <c r="AA107" s="50">
        <f t="shared" si="33"/>
        <v>0</v>
      </c>
      <c r="AB107" s="50">
        <f t="shared" si="34"/>
        <v>0</v>
      </c>
      <c r="AC107" s="50">
        <f t="shared" si="35"/>
        <v>0</v>
      </c>
      <c r="AD107" s="50">
        <f t="shared" si="36"/>
        <v>0</v>
      </c>
      <c r="AE107" s="50">
        <f t="shared" si="37"/>
        <v>0</v>
      </c>
      <c r="AF107" s="50">
        <f t="shared" si="38"/>
        <v>0</v>
      </c>
      <c r="AG107" s="51" t="str">
        <f t="shared" si="39"/>
        <v>9 DIESCommon model</v>
      </c>
      <c r="AH107" s="41"/>
      <c r="AI107" s="51" t="s">
        <v>357</v>
      </c>
      <c r="AJ107" s="51" t="s">
        <v>358</v>
      </c>
    </row>
    <row r="108" spans="1:36" ht="15.95" customHeight="1">
      <c r="A108" s="41" t="s">
        <v>378</v>
      </c>
      <c r="B108" s="42" t="s">
        <v>350</v>
      </c>
      <c r="C108" s="43" t="s">
        <v>360</v>
      </c>
      <c r="D108" s="52" t="s">
        <v>379</v>
      </c>
      <c r="E108" s="42" t="s">
        <v>353</v>
      </c>
      <c r="F108" s="42" t="s">
        <v>354</v>
      </c>
      <c r="G108" s="42" t="s">
        <v>355</v>
      </c>
      <c r="H108" s="41">
        <v>2026</v>
      </c>
      <c r="I108" s="45" t="s">
        <v>356</v>
      </c>
      <c r="J108" s="45"/>
      <c r="K108" s="54"/>
      <c r="L108" s="47">
        <v>0</v>
      </c>
      <c r="M108" s="48">
        <f>+IF(E108="",0,VLOOKUP(E108,[1]Code!J:K,2,0))</f>
        <v>5</v>
      </c>
      <c r="N108" s="49">
        <f t="shared" si="20"/>
        <v>0.2</v>
      </c>
      <c r="O108" s="50">
        <f t="shared" si="21"/>
        <v>0</v>
      </c>
      <c r="P108" s="50">
        <f t="shared" si="22"/>
        <v>0</v>
      </c>
      <c r="Q108" s="50">
        <f t="shared" si="23"/>
        <v>0</v>
      </c>
      <c r="R108" s="50">
        <f t="shared" si="24"/>
        <v>0</v>
      </c>
      <c r="S108" s="50">
        <f t="shared" si="25"/>
        <v>0</v>
      </c>
      <c r="T108" s="50">
        <f t="shared" si="26"/>
        <v>0</v>
      </c>
      <c r="U108" s="50">
        <f t="shared" si="27"/>
        <v>0</v>
      </c>
      <c r="V108" s="50">
        <f t="shared" si="28"/>
        <v>0</v>
      </c>
      <c r="W108" s="50">
        <f t="shared" si="29"/>
        <v>0</v>
      </c>
      <c r="X108" s="50">
        <f t="shared" si="30"/>
        <v>0</v>
      </c>
      <c r="Y108" s="50">
        <f t="shared" si="31"/>
        <v>0</v>
      </c>
      <c r="Z108" s="50">
        <f t="shared" si="32"/>
        <v>0</v>
      </c>
      <c r="AA108" s="50">
        <f t="shared" si="33"/>
        <v>0</v>
      </c>
      <c r="AB108" s="50">
        <f t="shared" si="34"/>
        <v>0</v>
      </c>
      <c r="AC108" s="50">
        <f t="shared" si="35"/>
        <v>0</v>
      </c>
      <c r="AD108" s="50">
        <f t="shared" si="36"/>
        <v>0</v>
      </c>
      <c r="AE108" s="50">
        <f t="shared" si="37"/>
        <v>0</v>
      </c>
      <c r="AF108" s="50">
        <f t="shared" si="38"/>
        <v>0</v>
      </c>
      <c r="AG108" s="51" t="str">
        <f t="shared" si="39"/>
        <v>9 DIESCommon model</v>
      </c>
      <c r="AH108" s="41"/>
      <c r="AI108" s="51" t="s">
        <v>357</v>
      </c>
      <c r="AJ108" s="51" t="s">
        <v>358</v>
      </c>
    </row>
    <row r="109" spans="1:36" ht="15.95" customHeight="1">
      <c r="A109" s="41" t="s">
        <v>380</v>
      </c>
      <c r="B109" s="42" t="s">
        <v>350</v>
      </c>
      <c r="C109" s="43" t="s">
        <v>381</v>
      </c>
      <c r="D109" s="52" t="s">
        <v>382</v>
      </c>
      <c r="E109" s="42" t="s">
        <v>353</v>
      </c>
      <c r="F109" s="42" t="s">
        <v>354</v>
      </c>
      <c r="G109" s="42" t="s">
        <v>355</v>
      </c>
      <c r="H109" s="41">
        <v>2026</v>
      </c>
      <c r="I109" s="45" t="s">
        <v>356</v>
      </c>
      <c r="J109" s="45"/>
      <c r="K109" s="54"/>
      <c r="L109" s="47">
        <v>142000</v>
      </c>
      <c r="M109" s="48">
        <f>+IF(E109="",0,VLOOKUP(E109,[1]Code!J:K,2,0))</f>
        <v>5</v>
      </c>
      <c r="N109" s="49">
        <f t="shared" si="20"/>
        <v>0.2</v>
      </c>
      <c r="O109" s="50">
        <f t="shared" si="21"/>
        <v>0</v>
      </c>
      <c r="P109" s="50">
        <f t="shared" si="22"/>
        <v>0</v>
      </c>
      <c r="Q109" s="50">
        <f t="shared" si="23"/>
        <v>0</v>
      </c>
      <c r="R109" s="50">
        <f t="shared" si="24"/>
        <v>0</v>
      </c>
      <c r="S109" s="50">
        <f t="shared" si="25"/>
        <v>0</v>
      </c>
      <c r="T109" s="50">
        <f t="shared" si="26"/>
        <v>0</v>
      </c>
      <c r="U109" s="50">
        <f t="shared" si="27"/>
        <v>0</v>
      </c>
      <c r="V109" s="50">
        <f t="shared" si="28"/>
        <v>0</v>
      </c>
      <c r="W109" s="50">
        <f t="shared" si="29"/>
        <v>0</v>
      </c>
      <c r="X109" s="50">
        <f t="shared" si="30"/>
        <v>0</v>
      </c>
      <c r="Y109" s="50">
        <f t="shared" si="31"/>
        <v>142000</v>
      </c>
      <c r="Z109" s="50">
        <f t="shared" si="32"/>
        <v>28400</v>
      </c>
      <c r="AA109" s="50">
        <f t="shared" si="33"/>
        <v>113600</v>
      </c>
      <c r="AB109" s="50">
        <f t="shared" si="34"/>
        <v>28400</v>
      </c>
      <c r="AC109" s="50">
        <f t="shared" si="35"/>
        <v>85200</v>
      </c>
      <c r="AD109" s="50">
        <f t="shared" si="36"/>
        <v>28400</v>
      </c>
      <c r="AE109" s="50">
        <f t="shared" si="37"/>
        <v>56800</v>
      </c>
      <c r="AF109" s="50">
        <f t="shared" si="38"/>
        <v>28400</v>
      </c>
      <c r="AG109" s="51" t="str">
        <f t="shared" si="39"/>
        <v>9 DIESCommon model</v>
      </c>
      <c r="AH109" s="41"/>
      <c r="AI109" s="51" t="s">
        <v>357</v>
      </c>
      <c r="AJ109" s="51" t="s">
        <v>358</v>
      </c>
    </row>
    <row r="110" spans="1:36" ht="15.95" customHeight="1">
      <c r="A110" s="41" t="s">
        <v>383</v>
      </c>
      <c r="B110" s="42" t="s">
        <v>350</v>
      </c>
      <c r="C110" s="43" t="s">
        <v>384</v>
      </c>
      <c r="D110" s="52" t="s">
        <v>385</v>
      </c>
      <c r="E110" s="42" t="s">
        <v>353</v>
      </c>
      <c r="F110" s="42" t="s">
        <v>354</v>
      </c>
      <c r="G110" s="42" t="s">
        <v>355</v>
      </c>
      <c r="H110" s="41">
        <v>2026</v>
      </c>
      <c r="I110" s="45" t="s">
        <v>356</v>
      </c>
      <c r="J110" s="45"/>
      <c r="K110" s="54"/>
      <c r="L110" s="47">
        <v>42000</v>
      </c>
      <c r="M110" s="48">
        <f>+IF(E110="",0,VLOOKUP(E110,[1]Code!J:K,2,0))</f>
        <v>5</v>
      </c>
      <c r="N110" s="49">
        <f t="shared" si="20"/>
        <v>0.2</v>
      </c>
      <c r="O110" s="50">
        <f t="shared" si="21"/>
        <v>0</v>
      </c>
      <c r="P110" s="50">
        <f t="shared" si="22"/>
        <v>0</v>
      </c>
      <c r="Q110" s="50">
        <f t="shared" si="23"/>
        <v>0</v>
      </c>
      <c r="R110" s="50">
        <f t="shared" si="24"/>
        <v>0</v>
      </c>
      <c r="S110" s="50">
        <f t="shared" si="25"/>
        <v>0</v>
      </c>
      <c r="T110" s="50">
        <f t="shared" si="26"/>
        <v>0</v>
      </c>
      <c r="U110" s="50">
        <f t="shared" si="27"/>
        <v>0</v>
      </c>
      <c r="V110" s="50">
        <f t="shared" si="28"/>
        <v>0</v>
      </c>
      <c r="W110" s="50">
        <f t="shared" si="29"/>
        <v>0</v>
      </c>
      <c r="X110" s="50">
        <f t="shared" si="30"/>
        <v>0</v>
      </c>
      <c r="Y110" s="50">
        <f t="shared" si="31"/>
        <v>42000</v>
      </c>
      <c r="Z110" s="50">
        <f t="shared" si="32"/>
        <v>8400</v>
      </c>
      <c r="AA110" s="50">
        <f t="shared" si="33"/>
        <v>33600</v>
      </c>
      <c r="AB110" s="50">
        <f t="shared" si="34"/>
        <v>8400</v>
      </c>
      <c r="AC110" s="50">
        <f t="shared" si="35"/>
        <v>25200</v>
      </c>
      <c r="AD110" s="50">
        <f t="shared" si="36"/>
        <v>8400</v>
      </c>
      <c r="AE110" s="50">
        <f t="shared" si="37"/>
        <v>16800</v>
      </c>
      <c r="AF110" s="50">
        <f t="shared" si="38"/>
        <v>8400</v>
      </c>
      <c r="AG110" s="51" t="str">
        <f t="shared" si="39"/>
        <v>9 DIESCommon model</v>
      </c>
      <c r="AH110" s="41"/>
      <c r="AI110" s="51" t="s">
        <v>357</v>
      </c>
      <c r="AJ110" s="51" t="s">
        <v>358</v>
      </c>
    </row>
    <row r="111" spans="1:36" ht="15.95" customHeight="1">
      <c r="A111" s="41" t="s">
        <v>386</v>
      </c>
      <c r="B111" s="42" t="s">
        <v>350</v>
      </c>
      <c r="C111" s="43" t="s">
        <v>384</v>
      </c>
      <c r="D111" s="52" t="s">
        <v>387</v>
      </c>
      <c r="E111" s="42" t="s">
        <v>353</v>
      </c>
      <c r="F111" s="42" t="s">
        <v>354</v>
      </c>
      <c r="G111" s="42" t="s">
        <v>355</v>
      </c>
      <c r="H111" s="41">
        <v>2026</v>
      </c>
      <c r="I111" s="45" t="s">
        <v>356</v>
      </c>
      <c r="J111" s="45"/>
      <c r="K111" s="54"/>
      <c r="L111" s="47">
        <v>139120</v>
      </c>
      <c r="M111" s="48">
        <f>+IF(E111="",0,VLOOKUP(E111,[1]Code!J:K,2,0))</f>
        <v>5</v>
      </c>
      <c r="N111" s="49">
        <f t="shared" si="20"/>
        <v>0.2</v>
      </c>
      <c r="O111" s="50">
        <f t="shared" si="21"/>
        <v>0</v>
      </c>
      <c r="P111" s="50">
        <f t="shared" si="22"/>
        <v>0</v>
      </c>
      <c r="Q111" s="50">
        <f t="shared" si="23"/>
        <v>0</v>
      </c>
      <c r="R111" s="50">
        <f t="shared" si="24"/>
        <v>0</v>
      </c>
      <c r="S111" s="50">
        <f t="shared" si="25"/>
        <v>0</v>
      </c>
      <c r="T111" s="50">
        <f t="shared" si="26"/>
        <v>0</v>
      </c>
      <c r="U111" s="50">
        <f t="shared" si="27"/>
        <v>0</v>
      </c>
      <c r="V111" s="50">
        <f t="shared" si="28"/>
        <v>0</v>
      </c>
      <c r="W111" s="50">
        <f t="shared" si="29"/>
        <v>0</v>
      </c>
      <c r="X111" s="50">
        <f t="shared" si="30"/>
        <v>0</v>
      </c>
      <c r="Y111" s="50">
        <f t="shared" si="31"/>
        <v>139120</v>
      </c>
      <c r="Z111" s="50">
        <f t="shared" si="32"/>
        <v>27824</v>
      </c>
      <c r="AA111" s="50">
        <f t="shared" si="33"/>
        <v>111296</v>
      </c>
      <c r="AB111" s="50">
        <f t="shared" si="34"/>
        <v>27824</v>
      </c>
      <c r="AC111" s="50">
        <f t="shared" si="35"/>
        <v>83472</v>
      </c>
      <c r="AD111" s="50">
        <f t="shared" si="36"/>
        <v>27824</v>
      </c>
      <c r="AE111" s="50">
        <f t="shared" si="37"/>
        <v>55648</v>
      </c>
      <c r="AF111" s="50">
        <f t="shared" si="38"/>
        <v>27824</v>
      </c>
      <c r="AG111" s="51" t="str">
        <f t="shared" si="39"/>
        <v>9 DIESCommon model</v>
      </c>
      <c r="AH111" s="41"/>
      <c r="AI111" s="51" t="s">
        <v>357</v>
      </c>
      <c r="AJ111" s="51" t="s">
        <v>358</v>
      </c>
    </row>
    <row r="112" spans="1:36" ht="15.95" customHeight="1">
      <c r="A112" s="41" t="s">
        <v>388</v>
      </c>
      <c r="B112" s="53" t="s">
        <v>389</v>
      </c>
      <c r="C112" s="79" t="s">
        <v>390</v>
      </c>
      <c r="D112" s="52" t="s">
        <v>391</v>
      </c>
      <c r="E112" s="67" t="s">
        <v>169</v>
      </c>
      <c r="F112" s="42" t="s">
        <v>72</v>
      </c>
      <c r="G112" s="42" t="s">
        <v>8</v>
      </c>
      <c r="H112" s="41">
        <v>2026</v>
      </c>
      <c r="I112" s="45" t="s">
        <v>55</v>
      </c>
      <c r="J112" s="45"/>
      <c r="K112" s="80">
        <v>1</v>
      </c>
      <c r="L112" s="47">
        <v>76000</v>
      </c>
      <c r="M112" s="48">
        <f>+IF(E112="",0,VLOOKUP(E112,[1]Code!J:K,2,0))</f>
        <v>30</v>
      </c>
      <c r="N112" s="49">
        <f t="shared" si="20"/>
        <v>3.3333333333333333E-2</v>
      </c>
      <c r="O112" s="50">
        <f t="shared" si="21"/>
        <v>0</v>
      </c>
      <c r="P112" s="50">
        <f t="shared" si="22"/>
        <v>0</v>
      </c>
      <c r="Q112" s="50">
        <f t="shared" si="23"/>
        <v>0</v>
      </c>
      <c r="R112" s="50">
        <f t="shared" si="24"/>
        <v>0</v>
      </c>
      <c r="S112" s="50">
        <f t="shared" si="25"/>
        <v>0</v>
      </c>
      <c r="T112" s="50">
        <f t="shared" si="26"/>
        <v>0</v>
      </c>
      <c r="U112" s="50">
        <f t="shared" si="27"/>
        <v>0</v>
      </c>
      <c r="V112" s="50">
        <f t="shared" si="28"/>
        <v>0</v>
      </c>
      <c r="W112" s="50">
        <f t="shared" si="29"/>
        <v>0</v>
      </c>
      <c r="X112" s="50">
        <f t="shared" si="30"/>
        <v>0</v>
      </c>
      <c r="Y112" s="50">
        <f t="shared" si="31"/>
        <v>76000</v>
      </c>
      <c r="Z112" s="50">
        <f t="shared" si="32"/>
        <v>2533.3330000000001</v>
      </c>
      <c r="AA112" s="50">
        <f t="shared" si="33"/>
        <v>73466.667000000001</v>
      </c>
      <c r="AB112" s="50">
        <f t="shared" si="34"/>
        <v>2533.3330000000001</v>
      </c>
      <c r="AC112" s="50">
        <f t="shared" si="35"/>
        <v>70933.334000000003</v>
      </c>
      <c r="AD112" s="50">
        <f t="shared" si="36"/>
        <v>2533.3330000000001</v>
      </c>
      <c r="AE112" s="50">
        <f t="shared" si="37"/>
        <v>68400.001000000004</v>
      </c>
      <c r="AF112" s="50">
        <f t="shared" si="38"/>
        <v>2533.3330000000001</v>
      </c>
      <c r="AG112" s="51" t="str">
        <f t="shared" si="39"/>
        <v xml:space="preserve">1 BUILDINGALL </v>
      </c>
      <c r="AH112" s="41"/>
      <c r="AI112" s="51" t="s">
        <v>392</v>
      </c>
      <c r="AJ112" s="51" t="s">
        <v>393</v>
      </c>
    </row>
    <row r="113" spans="1:36" ht="15.95" customHeight="1">
      <c r="A113" s="41" t="s">
        <v>394</v>
      </c>
      <c r="B113" s="53" t="s">
        <v>389</v>
      </c>
      <c r="C113" s="79" t="s">
        <v>395</v>
      </c>
      <c r="D113" s="52" t="s">
        <v>396</v>
      </c>
      <c r="E113" s="67" t="s">
        <v>119</v>
      </c>
      <c r="F113" s="42" t="s">
        <v>72</v>
      </c>
      <c r="G113" s="42" t="s">
        <v>8</v>
      </c>
      <c r="H113" s="41">
        <v>2026</v>
      </c>
      <c r="I113" s="45" t="s">
        <v>55</v>
      </c>
      <c r="J113" s="45"/>
      <c r="K113" s="80">
        <v>1</v>
      </c>
      <c r="L113" s="47">
        <v>44000</v>
      </c>
      <c r="M113" s="48">
        <f>+IF(E113="",0,VLOOKUP(E113,[1]Code!J:K,2,0))</f>
        <v>8</v>
      </c>
      <c r="N113" s="49">
        <f t="shared" si="20"/>
        <v>0.125</v>
      </c>
      <c r="O113" s="50">
        <f t="shared" si="21"/>
        <v>0</v>
      </c>
      <c r="P113" s="50">
        <f t="shared" si="22"/>
        <v>0</v>
      </c>
      <c r="Q113" s="50">
        <f t="shared" si="23"/>
        <v>0</v>
      </c>
      <c r="R113" s="50">
        <f t="shared" si="24"/>
        <v>0</v>
      </c>
      <c r="S113" s="50">
        <f t="shared" si="25"/>
        <v>0</v>
      </c>
      <c r="T113" s="50">
        <f t="shared" si="26"/>
        <v>0</v>
      </c>
      <c r="U113" s="50">
        <f t="shared" si="27"/>
        <v>0</v>
      </c>
      <c r="V113" s="50">
        <f t="shared" si="28"/>
        <v>0</v>
      </c>
      <c r="W113" s="50">
        <f t="shared" si="29"/>
        <v>0</v>
      </c>
      <c r="X113" s="50">
        <f t="shared" si="30"/>
        <v>0</v>
      </c>
      <c r="Y113" s="50">
        <f t="shared" si="31"/>
        <v>44000</v>
      </c>
      <c r="Z113" s="50">
        <f t="shared" si="32"/>
        <v>5500</v>
      </c>
      <c r="AA113" s="50">
        <f t="shared" si="33"/>
        <v>38500</v>
      </c>
      <c r="AB113" s="50">
        <f t="shared" si="34"/>
        <v>5500</v>
      </c>
      <c r="AC113" s="50">
        <f t="shared" si="35"/>
        <v>33000</v>
      </c>
      <c r="AD113" s="50">
        <f t="shared" si="36"/>
        <v>5500</v>
      </c>
      <c r="AE113" s="50">
        <f t="shared" si="37"/>
        <v>27500</v>
      </c>
      <c r="AF113" s="50">
        <f t="shared" si="38"/>
        <v>5500</v>
      </c>
      <c r="AG113" s="51" t="str">
        <f t="shared" si="39"/>
        <v xml:space="preserve">5 MACHINERY,UTILITIESALL </v>
      </c>
      <c r="AH113" s="41"/>
      <c r="AI113" s="51" t="s">
        <v>392</v>
      </c>
      <c r="AJ113" s="51" t="s">
        <v>393</v>
      </c>
    </row>
    <row r="114" spans="1:36" ht="15.95" customHeight="1">
      <c r="A114" s="41" t="s">
        <v>397</v>
      </c>
      <c r="B114" s="53" t="s">
        <v>277</v>
      </c>
      <c r="C114" s="55" t="s">
        <v>398</v>
      </c>
      <c r="D114" s="52" t="s">
        <v>399</v>
      </c>
      <c r="E114" s="67" t="s">
        <v>169</v>
      </c>
      <c r="F114" s="42" t="s">
        <v>72</v>
      </c>
      <c r="G114" s="42" t="s">
        <v>8</v>
      </c>
      <c r="H114" s="41">
        <v>2026</v>
      </c>
      <c r="I114" s="45" t="s">
        <v>400</v>
      </c>
      <c r="J114" s="45"/>
      <c r="K114" s="80">
        <v>1</v>
      </c>
      <c r="L114" s="47">
        <v>20000</v>
      </c>
      <c r="M114" s="48">
        <f>+IF(E114="",0,VLOOKUP(E114,[1]Code!J:K,2,0))</f>
        <v>30</v>
      </c>
      <c r="N114" s="49">
        <f t="shared" si="20"/>
        <v>3.3333333333333333E-2</v>
      </c>
      <c r="O114" s="50">
        <f t="shared" si="21"/>
        <v>0</v>
      </c>
      <c r="P114" s="50">
        <f t="shared" si="22"/>
        <v>0</v>
      </c>
      <c r="Q114" s="50">
        <f t="shared" si="23"/>
        <v>0</v>
      </c>
      <c r="R114" s="50">
        <f t="shared" si="24"/>
        <v>0</v>
      </c>
      <c r="S114" s="50">
        <f t="shared" si="25"/>
        <v>0</v>
      </c>
      <c r="T114" s="50">
        <f t="shared" si="26"/>
        <v>0</v>
      </c>
      <c r="U114" s="50">
        <f t="shared" si="27"/>
        <v>0</v>
      </c>
      <c r="V114" s="50">
        <f t="shared" si="28"/>
        <v>0</v>
      </c>
      <c r="W114" s="50">
        <f t="shared" si="29"/>
        <v>0</v>
      </c>
      <c r="X114" s="50">
        <f t="shared" si="30"/>
        <v>0</v>
      </c>
      <c r="Y114" s="50">
        <f t="shared" si="31"/>
        <v>20000</v>
      </c>
      <c r="Z114" s="50">
        <f t="shared" si="32"/>
        <v>666.66700000000003</v>
      </c>
      <c r="AA114" s="50">
        <f t="shared" si="33"/>
        <v>19333.332999999999</v>
      </c>
      <c r="AB114" s="50">
        <f t="shared" si="34"/>
        <v>666.66700000000003</v>
      </c>
      <c r="AC114" s="50">
        <f t="shared" si="35"/>
        <v>18666.665999999997</v>
      </c>
      <c r="AD114" s="50">
        <f t="shared" si="36"/>
        <v>666.66700000000003</v>
      </c>
      <c r="AE114" s="50">
        <f t="shared" si="37"/>
        <v>17999.998999999996</v>
      </c>
      <c r="AF114" s="50">
        <f t="shared" si="38"/>
        <v>666.66700000000003</v>
      </c>
      <c r="AG114" s="51" t="str">
        <f t="shared" si="39"/>
        <v xml:space="preserve">1 BUILDINGALL </v>
      </c>
      <c r="AH114" s="41"/>
      <c r="AI114" s="51" t="s">
        <v>392</v>
      </c>
      <c r="AJ114" s="51" t="s">
        <v>393</v>
      </c>
    </row>
    <row r="115" spans="1:36" ht="15.95" customHeight="1">
      <c r="A115" s="41" t="s">
        <v>401</v>
      </c>
      <c r="B115" s="53" t="s">
        <v>277</v>
      </c>
      <c r="C115" s="79" t="s">
        <v>402</v>
      </c>
      <c r="D115" s="44" t="s">
        <v>403</v>
      </c>
      <c r="E115" s="67" t="s">
        <v>119</v>
      </c>
      <c r="F115" s="42" t="s">
        <v>72</v>
      </c>
      <c r="G115" s="42" t="s">
        <v>8</v>
      </c>
      <c r="H115" s="41">
        <v>2026</v>
      </c>
      <c r="I115" s="45" t="s">
        <v>203</v>
      </c>
      <c r="J115" s="81"/>
      <c r="K115" s="80">
        <v>4</v>
      </c>
      <c r="L115" s="47">
        <v>15000</v>
      </c>
      <c r="M115" s="48">
        <f>+IF(E115="",0,VLOOKUP(E115,[1]Code!J:K,2,0))</f>
        <v>8</v>
      </c>
      <c r="N115" s="49">
        <f t="shared" si="20"/>
        <v>0.125</v>
      </c>
      <c r="O115" s="50">
        <f t="shared" si="21"/>
        <v>0</v>
      </c>
      <c r="P115" s="50">
        <f t="shared" si="22"/>
        <v>0</v>
      </c>
      <c r="Q115" s="50">
        <f t="shared" si="23"/>
        <v>0</v>
      </c>
      <c r="R115" s="50">
        <f t="shared" si="24"/>
        <v>0</v>
      </c>
      <c r="S115" s="50">
        <f t="shared" si="25"/>
        <v>0</v>
      </c>
      <c r="T115" s="50">
        <f t="shared" si="26"/>
        <v>0</v>
      </c>
      <c r="U115" s="50">
        <f t="shared" si="27"/>
        <v>0</v>
      </c>
      <c r="V115" s="50">
        <f t="shared" si="28"/>
        <v>0</v>
      </c>
      <c r="W115" s="50">
        <f t="shared" si="29"/>
        <v>0</v>
      </c>
      <c r="X115" s="50">
        <f t="shared" si="30"/>
        <v>0</v>
      </c>
      <c r="Y115" s="50">
        <f t="shared" si="31"/>
        <v>15000</v>
      </c>
      <c r="Z115" s="50">
        <f t="shared" si="32"/>
        <v>1875</v>
      </c>
      <c r="AA115" s="50">
        <f t="shared" si="33"/>
        <v>13125</v>
      </c>
      <c r="AB115" s="50">
        <f t="shared" si="34"/>
        <v>1875</v>
      </c>
      <c r="AC115" s="50">
        <f t="shared" si="35"/>
        <v>11250</v>
      </c>
      <c r="AD115" s="50">
        <f t="shared" si="36"/>
        <v>1875</v>
      </c>
      <c r="AE115" s="50">
        <f t="shared" si="37"/>
        <v>9375</v>
      </c>
      <c r="AF115" s="50">
        <f t="shared" si="38"/>
        <v>1875</v>
      </c>
      <c r="AG115" s="51" t="str">
        <f t="shared" si="39"/>
        <v xml:space="preserve">5 MACHINERY,UTILITIESALL </v>
      </c>
      <c r="AH115" s="41"/>
      <c r="AI115" s="51" t="s">
        <v>392</v>
      </c>
      <c r="AJ115" s="51" t="s">
        <v>393</v>
      </c>
    </row>
    <row r="116" spans="1:36" ht="15.95" customHeight="1">
      <c r="A116" s="41" t="s">
        <v>404</v>
      </c>
      <c r="B116" s="67" t="s">
        <v>389</v>
      </c>
      <c r="C116" s="55" t="s">
        <v>405</v>
      </c>
      <c r="D116" s="52" t="s">
        <v>406</v>
      </c>
      <c r="E116" s="67" t="s">
        <v>119</v>
      </c>
      <c r="F116" s="42" t="s">
        <v>72</v>
      </c>
      <c r="G116" s="42" t="s">
        <v>8</v>
      </c>
      <c r="H116" s="41">
        <v>2026</v>
      </c>
      <c r="I116" s="45" t="s">
        <v>73</v>
      </c>
      <c r="J116" s="45"/>
      <c r="K116" s="80">
        <v>1</v>
      </c>
      <c r="L116" s="47">
        <v>7000</v>
      </c>
      <c r="M116" s="48">
        <f>+IF(E116="",0,VLOOKUP(E116,[1]Code!J:K,2,0))</f>
        <v>8</v>
      </c>
      <c r="N116" s="49">
        <f t="shared" si="20"/>
        <v>0.125</v>
      </c>
      <c r="O116" s="50">
        <f t="shared" si="21"/>
        <v>0</v>
      </c>
      <c r="P116" s="50">
        <f t="shared" si="22"/>
        <v>0</v>
      </c>
      <c r="Q116" s="50">
        <f t="shared" si="23"/>
        <v>0</v>
      </c>
      <c r="R116" s="50">
        <f t="shared" si="24"/>
        <v>0</v>
      </c>
      <c r="S116" s="50">
        <f t="shared" si="25"/>
        <v>0</v>
      </c>
      <c r="T116" s="50">
        <f t="shared" si="26"/>
        <v>0</v>
      </c>
      <c r="U116" s="50">
        <f t="shared" si="27"/>
        <v>0</v>
      </c>
      <c r="V116" s="50">
        <f t="shared" si="28"/>
        <v>0</v>
      </c>
      <c r="W116" s="50">
        <f t="shared" si="29"/>
        <v>0</v>
      </c>
      <c r="X116" s="50">
        <f t="shared" si="30"/>
        <v>0</v>
      </c>
      <c r="Y116" s="50">
        <f t="shared" si="31"/>
        <v>7000</v>
      </c>
      <c r="Z116" s="50">
        <f t="shared" si="32"/>
        <v>875</v>
      </c>
      <c r="AA116" s="50">
        <f t="shared" si="33"/>
        <v>6125</v>
      </c>
      <c r="AB116" s="50">
        <f t="shared" si="34"/>
        <v>875</v>
      </c>
      <c r="AC116" s="50">
        <f t="shared" si="35"/>
        <v>5250</v>
      </c>
      <c r="AD116" s="50">
        <f t="shared" si="36"/>
        <v>875</v>
      </c>
      <c r="AE116" s="50">
        <f t="shared" si="37"/>
        <v>4375</v>
      </c>
      <c r="AF116" s="50">
        <f t="shared" si="38"/>
        <v>875</v>
      </c>
      <c r="AG116" s="51" t="str">
        <f t="shared" si="39"/>
        <v xml:space="preserve">5 MACHINERY,UTILITIESALL </v>
      </c>
      <c r="AH116" s="41"/>
      <c r="AI116" s="51" t="s">
        <v>392</v>
      </c>
      <c r="AJ116" s="51" t="s">
        <v>393</v>
      </c>
    </row>
    <row r="117" spans="1:36" ht="15.95" customHeight="1">
      <c r="A117" s="41" t="s">
        <v>407</v>
      </c>
      <c r="B117" s="67" t="s">
        <v>389</v>
      </c>
      <c r="C117" s="55" t="s">
        <v>408</v>
      </c>
      <c r="D117" s="52" t="s">
        <v>409</v>
      </c>
      <c r="E117" s="67" t="s">
        <v>119</v>
      </c>
      <c r="F117" s="42" t="s">
        <v>72</v>
      </c>
      <c r="G117" s="42" t="s">
        <v>8</v>
      </c>
      <c r="H117" s="41">
        <v>2026</v>
      </c>
      <c r="I117" s="45" t="s">
        <v>55</v>
      </c>
      <c r="J117" s="45"/>
      <c r="K117" s="80">
        <v>1</v>
      </c>
      <c r="L117" s="47">
        <v>3000</v>
      </c>
      <c r="M117" s="48">
        <f>+IF(E117="",0,VLOOKUP(E117,[1]Code!J:K,2,0))</f>
        <v>8</v>
      </c>
      <c r="N117" s="49">
        <f t="shared" si="20"/>
        <v>0.125</v>
      </c>
      <c r="O117" s="50">
        <f t="shared" si="21"/>
        <v>0</v>
      </c>
      <c r="P117" s="50">
        <f t="shared" si="22"/>
        <v>0</v>
      </c>
      <c r="Q117" s="50">
        <f t="shared" si="23"/>
        <v>0</v>
      </c>
      <c r="R117" s="50">
        <f t="shared" si="24"/>
        <v>0</v>
      </c>
      <c r="S117" s="50">
        <f t="shared" si="25"/>
        <v>0</v>
      </c>
      <c r="T117" s="50">
        <f t="shared" si="26"/>
        <v>0</v>
      </c>
      <c r="U117" s="50">
        <f t="shared" si="27"/>
        <v>0</v>
      </c>
      <c r="V117" s="50">
        <f t="shared" si="28"/>
        <v>0</v>
      </c>
      <c r="W117" s="50">
        <f t="shared" si="29"/>
        <v>0</v>
      </c>
      <c r="X117" s="50">
        <f t="shared" si="30"/>
        <v>0</v>
      </c>
      <c r="Y117" s="50">
        <f t="shared" si="31"/>
        <v>3000</v>
      </c>
      <c r="Z117" s="50">
        <f t="shared" si="32"/>
        <v>375</v>
      </c>
      <c r="AA117" s="50">
        <f t="shared" si="33"/>
        <v>2625</v>
      </c>
      <c r="AB117" s="50">
        <f t="shared" si="34"/>
        <v>375</v>
      </c>
      <c r="AC117" s="50">
        <f t="shared" si="35"/>
        <v>2250</v>
      </c>
      <c r="AD117" s="50">
        <f t="shared" si="36"/>
        <v>375</v>
      </c>
      <c r="AE117" s="50">
        <f t="shared" si="37"/>
        <v>1875</v>
      </c>
      <c r="AF117" s="50">
        <f t="shared" si="38"/>
        <v>375</v>
      </c>
      <c r="AG117" s="51" t="str">
        <f t="shared" si="39"/>
        <v xml:space="preserve">5 MACHINERY,UTILITIESALL </v>
      </c>
      <c r="AH117" s="41"/>
      <c r="AI117" s="51" t="s">
        <v>392</v>
      </c>
      <c r="AJ117" s="51" t="s">
        <v>393</v>
      </c>
    </row>
    <row r="118" spans="1:36" ht="15.95" customHeight="1">
      <c r="A118" s="41" t="s">
        <v>410</v>
      </c>
      <c r="B118" s="67" t="s">
        <v>389</v>
      </c>
      <c r="C118" s="55" t="s">
        <v>408</v>
      </c>
      <c r="D118" s="52" t="s">
        <v>411</v>
      </c>
      <c r="E118" s="67" t="s">
        <v>119</v>
      </c>
      <c r="F118" s="42" t="s">
        <v>72</v>
      </c>
      <c r="G118" s="42" t="s">
        <v>8</v>
      </c>
      <c r="H118" s="41">
        <v>2026</v>
      </c>
      <c r="I118" s="45" t="s">
        <v>73</v>
      </c>
      <c r="J118" s="45"/>
      <c r="K118" s="80">
        <v>1</v>
      </c>
      <c r="L118" s="47">
        <v>2000</v>
      </c>
      <c r="M118" s="48">
        <f>+IF(E118="",0,VLOOKUP(E118,[1]Code!J:K,2,0))</f>
        <v>8</v>
      </c>
      <c r="N118" s="49">
        <f t="shared" si="20"/>
        <v>0.125</v>
      </c>
      <c r="O118" s="50">
        <f t="shared" si="21"/>
        <v>0</v>
      </c>
      <c r="P118" s="50">
        <f t="shared" si="22"/>
        <v>0</v>
      </c>
      <c r="Q118" s="50">
        <f t="shared" si="23"/>
        <v>0</v>
      </c>
      <c r="R118" s="50">
        <f t="shared" si="24"/>
        <v>0</v>
      </c>
      <c r="S118" s="50">
        <f t="shared" si="25"/>
        <v>0</v>
      </c>
      <c r="T118" s="50">
        <f t="shared" si="26"/>
        <v>0</v>
      </c>
      <c r="U118" s="50">
        <f t="shared" si="27"/>
        <v>0</v>
      </c>
      <c r="V118" s="50">
        <f t="shared" si="28"/>
        <v>0</v>
      </c>
      <c r="W118" s="50">
        <f t="shared" si="29"/>
        <v>0</v>
      </c>
      <c r="X118" s="50">
        <f t="shared" si="30"/>
        <v>0</v>
      </c>
      <c r="Y118" s="50">
        <f t="shared" si="31"/>
        <v>2000</v>
      </c>
      <c r="Z118" s="50">
        <f t="shared" si="32"/>
        <v>250</v>
      </c>
      <c r="AA118" s="50">
        <f t="shared" si="33"/>
        <v>1750</v>
      </c>
      <c r="AB118" s="50">
        <f t="shared" si="34"/>
        <v>250</v>
      </c>
      <c r="AC118" s="50">
        <f t="shared" si="35"/>
        <v>1500</v>
      </c>
      <c r="AD118" s="50">
        <f t="shared" si="36"/>
        <v>250</v>
      </c>
      <c r="AE118" s="50">
        <f t="shared" si="37"/>
        <v>1250</v>
      </c>
      <c r="AF118" s="50">
        <f t="shared" si="38"/>
        <v>250</v>
      </c>
      <c r="AG118" s="51" t="str">
        <f t="shared" si="39"/>
        <v xml:space="preserve">5 MACHINERY,UTILITIESALL </v>
      </c>
      <c r="AH118" s="41"/>
      <c r="AI118" s="51" t="s">
        <v>392</v>
      </c>
      <c r="AJ118" s="51" t="s">
        <v>393</v>
      </c>
    </row>
    <row r="119" spans="1:36" ht="15.95" customHeight="1">
      <c r="A119" s="41" t="s">
        <v>412</v>
      </c>
      <c r="B119" s="67" t="s">
        <v>225</v>
      </c>
      <c r="C119" s="55" t="s">
        <v>408</v>
      </c>
      <c r="D119" s="52" t="s">
        <v>413</v>
      </c>
      <c r="E119" s="67" t="s">
        <v>119</v>
      </c>
      <c r="F119" s="42" t="s">
        <v>72</v>
      </c>
      <c r="G119" s="42" t="s">
        <v>8</v>
      </c>
      <c r="H119" s="41">
        <v>2026</v>
      </c>
      <c r="I119" s="45" t="s">
        <v>414</v>
      </c>
      <c r="J119" s="45"/>
      <c r="K119" s="80">
        <v>14</v>
      </c>
      <c r="L119" s="47">
        <f>1400*8</f>
        <v>11200</v>
      </c>
      <c r="M119" s="48">
        <f>+IF(E119="",0,VLOOKUP(E119,[1]Code!J:K,2,0))</f>
        <v>8</v>
      </c>
      <c r="N119" s="49">
        <f t="shared" si="20"/>
        <v>0.125</v>
      </c>
      <c r="O119" s="50">
        <f t="shared" si="21"/>
        <v>0</v>
      </c>
      <c r="P119" s="50">
        <f t="shared" si="22"/>
        <v>0</v>
      </c>
      <c r="Q119" s="50">
        <f t="shared" si="23"/>
        <v>0</v>
      </c>
      <c r="R119" s="50">
        <f t="shared" si="24"/>
        <v>0</v>
      </c>
      <c r="S119" s="50">
        <f t="shared" si="25"/>
        <v>0</v>
      </c>
      <c r="T119" s="50">
        <f t="shared" si="26"/>
        <v>0</v>
      </c>
      <c r="U119" s="50">
        <f t="shared" si="27"/>
        <v>0</v>
      </c>
      <c r="V119" s="50">
        <f t="shared" si="28"/>
        <v>0</v>
      </c>
      <c r="W119" s="50">
        <f t="shared" si="29"/>
        <v>0</v>
      </c>
      <c r="X119" s="50">
        <f t="shared" si="30"/>
        <v>0</v>
      </c>
      <c r="Y119" s="50">
        <f t="shared" si="31"/>
        <v>11200</v>
      </c>
      <c r="Z119" s="50">
        <f t="shared" si="32"/>
        <v>1400</v>
      </c>
      <c r="AA119" s="50">
        <f t="shared" si="33"/>
        <v>9800</v>
      </c>
      <c r="AB119" s="50">
        <f t="shared" si="34"/>
        <v>1400</v>
      </c>
      <c r="AC119" s="50">
        <f t="shared" si="35"/>
        <v>8400</v>
      </c>
      <c r="AD119" s="50">
        <f t="shared" si="36"/>
        <v>1400</v>
      </c>
      <c r="AE119" s="50">
        <f t="shared" si="37"/>
        <v>7000</v>
      </c>
      <c r="AF119" s="50">
        <f t="shared" si="38"/>
        <v>1400</v>
      </c>
      <c r="AG119" s="51" t="str">
        <f t="shared" si="39"/>
        <v xml:space="preserve">5 MACHINERY,UTILITIESALL </v>
      </c>
      <c r="AH119" s="41"/>
      <c r="AI119" s="51" t="s">
        <v>392</v>
      </c>
      <c r="AJ119" s="51" t="s">
        <v>393</v>
      </c>
    </row>
    <row r="120" spans="1:36" ht="15.95" customHeight="1">
      <c r="A120" s="41" t="s">
        <v>415</v>
      </c>
      <c r="B120" s="67" t="s">
        <v>225</v>
      </c>
      <c r="C120" s="55" t="s">
        <v>408</v>
      </c>
      <c r="D120" s="52" t="s">
        <v>416</v>
      </c>
      <c r="E120" s="67" t="s">
        <v>119</v>
      </c>
      <c r="F120" s="42" t="s">
        <v>72</v>
      </c>
      <c r="G120" s="42" t="s">
        <v>8</v>
      </c>
      <c r="H120" s="41">
        <v>2026</v>
      </c>
      <c r="I120" s="45" t="s">
        <v>73</v>
      </c>
      <c r="J120" s="45"/>
      <c r="K120" s="80">
        <v>2</v>
      </c>
      <c r="L120" s="47">
        <v>500</v>
      </c>
      <c r="M120" s="48">
        <f>+IF(E120="",0,VLOOKUP(E120,[1]Code!J:K,2,0))</f>
        <v>8</v>
      </c>
      <c r="N120" s="49">
        <f t="shared" si="20"/>
        <v>0.125</v>
      </c>
      <c r="O120" s="50">
        <f t="shared" si="21"/>
        <v>0</v>
      </c>
      <c r="P120" s="50">
        <f t="shared" si="22"/>
        <v>0</v>
      </c>
      <c r="Q120" s="50">
        <f t="shared" si="23"/>
        <v>0</v>
      </c>
      <c r="R120" s="50">
        <f t="shared" si="24"/>
        <v>0</v>
      </c>
      <c r="S120" s="50">
        <f t="shared" si="25"/>
        <v>0</v>
      </c>
      <c r="T120" s="50">
        <f t="shared" si="26"/>
        <v>0</v>
      </c>
      <c r="U120" s="50">
        <f t="shared" si="27"/>
        <v>0</v>
      </c>
      <c r="V120" s="50">
        <f t="shared" si="28"/>
        <v>0</v>
      </c>
      <c r="W120" s="50">
        <f t="shared" si="29"/>
        <v>0</v>
      </c>
      <c r="X120" s="50">
        <f t="shared" si="30"/>
        <v>0</v>
      </c>
      <c r="Y120" s="50">
        <f t="shared" si="31"/>
        <v>500</v>
      </c>
      <c r="Z120" s="50">
        <f t="shared" si="32"/>
        <v>62.5</v>
      </c>
      <c r="AA120" s="50">
        <f t="shared" si="33"/>
        <v>437.5</v>
      </c>
      <c r="AB120" s="50">
        <f t="shared" si="34"/>
        <v>62.5</v>
      </c>
      <c r="AC120" s="50">
        <f t="shared" si="35"/>
        <v>375</v>
      </c>
      <c r="AD120" s="50">
        <f t="shared" si="36"/>
        <v>62.5</v>
      </c>
      <c r="AE120" s="50">
        <f t="shared" si="37"/>
        <v>312.5</v>
      </c>
      <c r="AF120" s="50">
        <f t="shared" si="38"/>
        <v>62.5</v>
      </c>
      <c r="AG120" s="51" t="str">
        <f t="shared" si="39"/>
        <v xml:space="preserve">5 MACHINERY,UTILITIESALL </v>
      </c>
      <c r="AH120" s="41"/>
      <c r="AI120" s="51" t="s">
        <v>392</v>
      </c>
      <c r="AJ120" s="51" t="s">
        <v>393</v>
      </c>
    </row>
    <row r="121" spans="1:36" ht="15.95" customHeight="1">
      <c r="A121" s="41" t="s">
        <v>417</v>
      </c>
      <c r="B121" s="67" t="s">
        <v>277</v>
      </c>
      <c r="C121" s="55" t="s">
        <v>408</v>
      </c>
      <c r="D121" s="82" t="s">
        <v>418</v>
      </c>
      <c r="E121" s="67" t="s">
        <v>119</v>
      </c>
      <c r="F121" s="42" t="s">
        <v>72</v>
      </c>
      <c r="G121" s="42" t="s">
        <v>8</v>
      </c>
      <c r="H121" s="41">
        <v>2026</v>
      </c>
      <c r="I121" s="45" t="s">
        <v>203</v>
      </c>
      <c r="J121" s="45"/>
      <c r="K121" s="80">
        <v>1</v>
      </c>
      <c r="L121" s="47">
        <v>8270</v>
      </c>
      <c r="M121" s="48">
        <f>+IF(E121="",0,VLOOKUP(E121,[1]Code!J:K,2,0))</f>
        <v>8</v>
      </c>
      <c r="N121" s="49">
        <f t="shared" si="20"/>
        <v>0.125</v>
      </c>
      <c r="O121" s="50">
        <f t="shared" si="21"/>
        <v>0</v>
      </c>
      <c r="P121" s="50">
        <f t="shared" si="22"/>
        <v>0</v>
      </c>
      <c r="Q121" s="50">
        <f t="shared" si="23"/>
        <v>0</v>
      </c>
      <c r="R121" s="50">
        <f t="shared" si="24"/>
        <v>0</v>
      </c>
      <c r="S121" s="50">
        <f t="shared" si="25"/>
        <v>0</v>
      </c>
      <c r="T121" s="50">
        <f t="shared" si="26"/>
        <v>0</v>
      </c>
      <c r="U121" s="50">
        <f t="shared" si="27"/>
        <v>0</v>
      </c>
      <c r="V121" s="50">
        <f t="shared" si="28"/>
        <v>0</v>
      </c>
      <c r="W121" s="50">
        <f t="shared" si="29"/>
        <v>0</v>
      </c>
      <c r="X121" s="50">
        <f t="shared" si="30"/>
        <v>0</v>
      </c>
      <c r="Y121" s="50">
        <f t="shared" si="31"/>
        <v>8270</v>
      </c>
      <c r="Z121" s="50">
        <f t="shared" si="32"/>
        <v>1033.75</v>
      </c>
      <c r="AA121" s="50">
        <f t="shared" si="33"/>
        <v>7236.25</v>
      </c>
      <c r="AB121" s="50">
        <f t="shared" si="34"/>
        <v>1033.75</v>
      </c>
      <c r="AC121" s="50">
        <f t="shared" si="35"/>
        <v>6202.5</v>
      </c>
      <c r="AD121" s="50">
        <f t="shared" si="36"/>
        <v>1033.75</v>
      </c>
      <c r="AE121" s="50">
        <f t="shared" si="37"/>
        <v>5168.75</v>
      </c>
      <c r="AF121" s="50">
        <f t="shared" si="38"/>
        <v>1033.75</v>
      </c>
      <c r="AG121" s="51" t="str">
        <f t="shared" si="39"/>
        <v xml:space="preserve">5 MACHINERY,UTILITIESALL </v>
      </c>
      <c r="AH121" s="41"/>
      <c r="AI121" s="51" t="s">
        <v>392</v>
      </c>
      <c r="AJ121" s="51" t="s">
        <v>393</v>
      </c>
    </row>
    <row r="122" spans="1:36" ht="15.95" customHeight="1">
      <c r="A122" s="41" t="s">
        <v>419</v>
      </c>
      <c r="B122" s="67" t="s">
        <v>420</v>
      </c>
      <c r="C122" s="83" t="s">
        <v>421</v>
      </c>
      <c r="D122" s="52" t="s">
        <v>422</v>
      </c>
      <c r="E122" s="67" t="s">
        <v>97</v>
      </c>
      <c r="F122" s="42" t="s">
        <v>72</v>
      </c>
      <c r="G122" s="42" t="s">
        <v>8</v>
      </c>
      <c r="H122" s="41">
        <v>2026</v>
      </c>
      <c r="I122" s="45">
        <v>46143</v>
      </c>
      <c r="J122" s="45"/>
      <c r="K122" s="80">
        <v>200</v>
      </c>
      <c r="L122" s="47">
        <v>2000</v>
      </c>
      <c r="M122" s="48">
        <f>+IF(E122="",0,VLOOKUP(E122,[1]Code!J:K,2,0))</f>
        <v>5</v>
      </c>
      <c r="N122" s="49">
        <f t="shared" si="20"/>
        <v>0.2</v>
      </c>
      <c r="O122" s="50">
        <f t="shared" si="21"/>
        <v>0</v>
      </c>
      <c r="P122" s="50">
        <f t="shared" si="22"/>
        <v>0</v>
      </c>
      <c r="Q122" s="50">
        <f t="shared" si="23"/>
        <v>0</v>
      </c>
      <c r="R122" s="50">
        <f t="shared" si="24"/>
        <v>0</v>
      </c>
      <c r="S122" s="50">
        <f t="shared" si="25"/>
        <v>0</v>
      </c>
      <c r="T122" s="50">
        <f t="shared" si="26"/>
        <v>0</v>
      </c>
      <c r="U122" s="50">
        <f t="shared" si="27"/>
        <v>0</v>
      </c>
      <c r="V122" s="50">
        <f t="shared" si="28"/>
        <v>0</v>
      </c>
      <c r="W122" s="50">
        <f t="shared" si="29"/>
        <v>0</v>
      </c>
      <c r="X122" s="50">
        <f t="shared" si="30"/>
        <v>0</v>
      </c>
      <c r="Y122" s="50">
        <f t="shared" si="31"/>
        <v>2000</v>
      </c>
      <c r="Z122" s="50">
        <f t="shared" si="32"/>
        <v>400</v>
      </c>
      <c r="AA122" s="50">
        <f t="shared" si="33"/>
        <v>1600</v>
      </c>
      <c r="AB122" s="50">
        <f t="shared" si="34"/>
        <v>400</v>
      </c>
      <c r="AC122" s="50">
        <f t="shared" si="35"/>
        <v>1200</v>
      </c>
      <c r="AD122" s="50">
        <f t="shared" si="36"/>
        <v>400</v>
      </c>
      <c r="AE122" s="50">
        <f t="shared" si="37"/>
        <v>800</v>
      </c>
      <c r="AF122" s="50">
        <f t="shared" si="38"/>
        <v>400</v>
      </c>
      <c r="AG122" s="51" t="str">
        <f t="shared" si="39"/>
        <v xml:space="preserve">14 OFFICE EQUIPMENTSALL </v>
      </c>
      <c r="AH122" s="41"/>
      <c r="AI122" s="51" t="s">
        <v>392</v>
      </c>
      <c r="AJ122" s="51" t="s">
        <v>393</v>
      </c>
    </row>
    <row r="123" spans="1:36" ht="15.95" customHeight="1">
      <c r="A123" s="41" t="s">
        <v>423</v>
      </c>
      <c r="B123" s="67" t="s">
        <v>420</v>
      </c>
      <c r="C123" s="83" t="s">
        <v>421</v>
      </c>
      <c r="D123" s="44" t="s">
        <v>424</v>
      </c>
      <c r="E123" s="67" t="s">
        <v>119</v>
      </c>
      <c r="F123" s="42" t="s">
        <v>72</v>
      </c>
      <c r="G123" s="42" t="s">
        <v>8</v>
      </c>
      <c r="H123" s="41">
        <v>2026</v>
      </c>
      <c r="I123" s="45">
        <v>46143</v>
      </c>
      <c r="J123" s="45"/>
      <c r="K123" s="80">
        <v>1</v>
      </c>
      <c r="L123" s="47">
        <v>40000</v>
      </c>
      <c r="M123" s="48">
        <f>+IF(E123="",0,VLOOKUP(E123,[1]Code!J:K,2,0))</f>
        <v>8</v>
      </c>
      <c r="N123" s="49">
        <f t="shared" si="20"/>
        <v>0.125</v>
      </c>
      <c r="O123" s="50">
        <f t="shared" si="21"/>
        <v>0</v>
      </c>
      <c r="P123" s="50">
        <f t="shared" si="22"/>
        <v>0</v>
      </c>
      <c r="Q123" s="50">
        <f t="shared" si="23"/>
        <v>0</v>
      </c>
      <c r="R123" s="50">
        <f t="shared" si="24"/>
        <v>0</v>
      </c>
      <c r="S123" s="50">
        <f t="shared" si="25"/>
        <v>0</v>
      </c>
      <c r="T123" s="50">
        <f t="shared" si="26"/>
        <v>0</v>
      </c>
      <c r="U123" s="50">
        <f t="shared" si="27"/>
        <v>0</v>
      </c>
      <c r="V123" s="50">
        <f t="shared" si="28"/>
        <v>0</v>
      </c>
      <c r="W123" s="50">
        <f t="shared" si="29"/>
        <v>0</v>
      </c>
      <c r="X123" s="50">
        <f t="shared" si="30"/>
        <v>0</v>
      </c>
      <c r="Y123" s="50">
        <f t="shared" si="31"/>
        <v>40000</v>
      </c>
      <c r="Z123" s="50">
        <f t="shared" si="32"/>
        <v>5000</v>
      </c>
      <c r="AA123" s="50">
        <f t="shared" si="33"/>
        <v>35000</v>
      </c>
      <c r="AB123" s="50">
        <f t="shared" si="34"/>
        <v>5000</v>
      </c>
      <c r="AC123" s="50">
        <f t="shared" si="35"/>
        <v>30000</v>
      </c>
      <c r="AD123" s="50">
        <f t="shared" si="36"/>
        <v>5000</v>
      </c>
      <c r="AE123" s="50">
        <f t="shared" si="37"/>
        <v>25000</v>
      </c>
      <c r="AF123" s="50">
        <f t="shared" si="38"/>
        <v>5000</v>
      </c>
      <c r="AG123" s="51" t="str">
        <f t="shared" si="39"/>
        <v xml:space="preserve">5 MACHINERY,UTILITIESALL </v>
      </c>
      <c r="AH123" s="41"/>
      <c r="AI123" s="51" t="s">
        <v>392</v>
      </c>
      <c r="AJ123" s="51" t="s">
        <v>393</v>
      </c>
    </row>
    <row r="124" spans="1:36" ht="15.95" customHeight="1">
      <c r="A124" s="41" t="s">
        <v>425</v>
      </c>
      <c r="B124" s="42" t="s">
        <v>420</v>
      </c>
      <c r="C124" s="83" t="s">
        <v>421</v>
      </c>
      <c r="D124" s="52" t="s">
        <v>426</v>
      </c>
      <c r="E124" s="67" t="s">
        <v>119</v>
      </c>
      <c r="F124" s="42" t="s">
        <v>72</v>
      </c>
      <c r="G124" s="42" t="s">
        <v>8</v>
      </c>
      <c r="H124" s="41">
        <v>2026</v>
      </c>
      <c r="I124" s="45">
        <v>46235</v>
      </c>
      <c r="J124" s="45"/>
      <c r="K124" s="80">
        <v>4</v>
      </c>
      <c r="L124" s="47">
        <v>500</v>
      </c>
      <c r="M124" s="48">
        <f>+IF(E124="",0,VLOOKUP(E124,[1]Code!J:K,2,0))</f>
        <v>8</v>
      </c>
      <c r="N124" s="49">
        <f t="shared" si="20"/>
        <v>0.125</v>
      </c>
      <c r="O124" s="50">
        <f t="shared" si="21"/>
        <v>0</v>
      </c>
      <c r="P124" s="50">
        <f t="shared" si="22"/>
        <v>0</v>
      </c>
      <c r="Q124" s="50">
        <f t="shared" si="23"/>
        <v>0</v>
      </c>
      <c r="R124" s="50">
        <f t="shared" si="24"/>
        <v>0</v>
      </c>
      <c r="S124" s="50">
        <f t="shared" si="25"/>
        <v>0</v>
      </c>
      <c r="T124" s="50">
        <f t="shared" si="26"/>
        <v>0</v>
      </c>
      <c r="U124" s="50">
        <f t="shared" si="27"/>
        <v>0</v>
      </c>
      <c r="V124" s="50">
        <f t="shared" si="28"/>
        <v>0</v>
      </c>
      <c r="W124" s="50">
        <f t="shared" si="29"/>
        <v>0</v>
      </c>
      <c r="X124" s="50">
        <f t="shared" si="30"/>
        <v>0</v>
      </c>
      <c r="Y124" s="50">
        <f t="shared" si="31"/>
        <v>500</v>
      </c>
      <c r="Z124" s="50">
        <f t="shared" si="32"/>
        <v>62.5</v>
      </c>
      <c r="AA124" s="50">
        <f t="shared" si="33"/>
        <v>437.5</v>
      </c>
      <c r="AB124" s="50">
        <f t="shared" si="34"/>
        <v>62.5</v>
      </c>
      <c r="AC124" s="50">
        <f t="shared" si="35"/>
        <v>375</v>
      </c>
      <c r="AD124" s="50">
        <f t="shared" si="36"/>
        <v>62.5</v>
      </c>
      <c r="AE124" s="50">
        <f t="shared" si="37"/>
        <v>312.5</v>
      </c>
      <c r="AF124" s="50">
        <f t="shared" si="38"/>
        <v>62.5</v>
      </c>
      <c r="AG124" s="51" t="str">
        <f t="shared" si="39"/>
        <v xml:space="preserve">5 MACHINERY,UTILITIESALL </v>
      </c>
      <c r="AH124" s="41"/>
      <c r="AI124" s="51" t="s">
        <v>392</v>
      </c>
      <c r="AJ124" s="51" t="s">
        <v>393</v>
      </c>
    </row>
    <row r="125" spans="1:36" ht="15.95" customHeight="1">
      <c r="A125" s="41" t="s">
        <v>427</v>
      </c>
      <c r="B125" s="42" t="s">
        <v>420</v>
      </c>
      <c r="C125" s="83" t="s">
        <v>421</v>
      </c>
      <c r="D125" s="52" t="s">
        <v>428</v>
      </c>
      <c r="E125" s="67" t="s">
        <v>119</v>
      </c>
      <c r="F125" s="42" t="s">
        <v>72</v>
      </c>
      <c r="G125" s="42" t="s">
        <v>8</v>
      </c>
      <c r="H125" s="41">
        <v>2026</v>
      </c>
      <c r="I125" s="45">
        <v>46113</v>
      </c>
      <c r="J125" s="45"/>
      <c r="K125" s="80">
        <v>1</v>
      </c>
      <c r="L125" s="47">
        <v>5000</v>
      </c>
      <c r="M125" s="48">
        <f>+IF(E125="",0,VLOOKUP(E125,[1]Code!J:K,2,0))</f>
        <v>8</v>
      </c>
      <c r="N125" s="49">
        <f t="shared" si="20"/>
        <v>0.125</v>
      </c>
      <c r="O125" s="50">
        <f t="shared" si="21"/>
        <v>0</v>
      </c>
      <c r="P125" s="50">
        <f t="shared" si="22"/>
        <v>0</v>
      </c>
      <c r="Q125" s="50">
        <f t="shared" si="23"/>
        <v>0</v>
      </c>
      <c r="R125" s="50">
        <f t="shared" si="24"/>
        <v>0</v>
      </c>
      <c r="S125" s="50">
        <f t="shared" si="25"/>
        <v>0</v>
      </c>
      <c r="T125" s="50">
        <f t="shared" si="26"/>
        <v>0</v>
      </c>
      <c r="U125" s="50">
        <f t="shared" si="27"/>
        <v>0</v>
      </c>
      <c r="V125" s="50">
        <f t="shared" si="28"/>
        <v>0</v>
      </c>
      <c r="W125" s="50">
        <f t="shared" si="29"/>
        <v>0</v>
      </c>
      <c r="X125" s="50">
        <f t="shared" si="30"/>
        <v>0</v>
      </c>
      <c r="Y125" s="50">
        <f t="shared" si="31"/>
        <v>5000</v>
      </c>
      <c r="Z125" s="50">
        <f t="shared" si="32"/>
        <v>625</v>
      </c>
      <c r="AA125" s="50">
        <f t="shared" si="33"/>
        <v>4375</v>
      </c>
      <c r="AB125" s="50">
        <f t="shared" si="34"/>
        <v>625</v>
      </c>
      <c r="AC125" s="50">
        <f t="shared" si="35"/>
        <v>3750</v>
      </c>
      <c r="AD125" s="50">
        <f t="shared" si="36"/>
        <v>625</v>
      </c>
      <c r="AE125" s="50">
        <f t="shared" si="37"/>
        <v>3125</v>
      </c>
      <c r="AF125" s="50">
        <f t="shared" si="38"/>
        <v>625</v>
      </c>
      <c r="AG125" s="51" t="str">
        <f t="shared" si="39"/>
        <v xml:space="preserve">5 MACHINERY,UTILITIESALL </v>
      </c>
      <c r="AH125" s="41"/>
      <c r="AI125" s="51" t="s">
        <v>392</v>
      </c>
      <c r="AJ125" s="51" t="s">
        <v>393</v>
      </c>
    </row>
    <row r="126" spans="1:36" ht="15.95" customHeight="1">
      <c r="A126" s="41" t="s">
        <v>429</v>
      </c>
      <c r="B126" s="42" t="s">
        <v>420</v>
      </c>
      <c r="C126" s="83" t="s">
        <v>421</v>
      </c>
      <c r="D126" s="52" t="s">
        <v>430</v>
      </c>
      <c r="E126" s="67" t="s">
        <v>119</v>
      </c>
      <c r="F126" s="42" t="s">
        <v>72</v>
      </c>
      <c r="G126" s="42" t="s">
        <v>8</v>
      </c>
      <c r="H126" s="41">
        <v>2026</v>
      </c>
      <c r="I126" s="45">
        <v>46266</v>
      </c>
      <c r="J126" s="45"/>
      <c r="K126" s="80">
        <v>1</v>
      </c>
      <c r="L126" s="47">
        <v>2500</v>
      </c>
      <c r="M126" s="48">
        <f>+IF(E126="",0,VLOOKUP(E126,[1]Code!J:K,2,0))</f>
        <v>8</v>
      </c>
      <c r="N126" s="49">
        <f t="shared" si="20"/>
        <v>0.125</v>
      </c>
      <c r="O126" s="50">
        <f t="shared" si="21"/>
        <v>0</v>
      </c>
      <c r="P126" s="50">
        <f t="shared" si="22"/>
        <v>0</v>
      </c>
      <c r="Q126" s="50">
        <f t="shared" si="23"/>
        <v>0</v>
      </c>
      <c r="R126" s="50">
        <f t="shared" si="24"/>
        <v>0</v>
      </c>
      <c r="S126" s="50">
        <f t="shared" si="25"/>
        <v>0</v>
      </c>
      <c r="T126" s="50">
        <f t="shared" si="26"/>
        <v>0</v>
      </c>
      <c r="U126" s="50">
        <f t="shared" si="27"/>
        <v>0</v>
      </c>
      <c r="V126" s="50">
        <f t="shared" si="28"/>
        <v>0</v>
      </c>
      <c r="W126" s="50">
        <f t="shared" si="29"/>
        <v>0</v>
      </c>
      <c r="X126" s="50">
        <f t="shared" si="30"/>
        <v>0</v>
      </c>
      <c r="Y126" s="50">
        <f t="shared" si="31"/>
        <v>2500</v>
      </c>
      <c r="Z126" s="50">
        <f t="shared" si="32"/>
        <v>312.5</v>
      </c>
      <c r="AA126" s="50">
        <f t="shared" si="33"/>
        <v>2187.5</v>
      </c>
      <c r="AB126" s="50">
        <f t="shared" si="34"/>
        <v>312.5</v>
      </c>
      <c r="AC126" s="50">
        <f t="shared" si="35"/>
        <v>1875</v>
      </c>
      <c r="AD126" s="50">
        <f t="shared" si="36"/>
        <v>312.5</v>
      </c>
      <c r="AE126" s="50">
        <f t="shared" si="37"/>
        <v>1562.5</v>
      </c>
      <c r="AF126" s="50">
        <f t="shared" si="38"/>
        <v>312.5</v>
      </c>
      <c r="AG126" s="51" t="str">
        <f t="shared" si="39"/>
        <v xml:space="preserve">5 MACHINERY,UTILITIESALL </v>
      </c>
      <c r="AH126" s="41"/>
      <c r="AI126" s="51" t="s">
        <v>392</v>
      </c>
      <c r="AJ126" s="51" t="s">
        <v>393</v>
      </c>
    </row>
    <row r="127" spans="1:36" ht="15.95" customHeight="1">
      <c r="A127" s="41" t="s">
        <v>431</v>
      </c>
      <c r="B127" s="84" t="s">
        <v>389</v>
      </c>
      <c r="C127" s="83" t="s">
        <v>421</v>
      </c>
      <c r="D127" s="52" t="s">
        <v>432</v>
      </c>
      <c r="E127" s="67" t="s">
        <v>119</v>
      </c>
      <c r="F127" s="42" t="s">
        <v>72</v>
      </c>
      <c r="G127" s="42" t="s">
        <v>8</v>
      </c>
      <c r="H127" s="41">
        <v>2026</v>
      </c>
      <c r="I127" s="45">
        <v>46266</v>
      </c>
      <c r="J127" s="45"/>
      <c r="K127" s="80">
        <v>1</v>
      </c>
      <c r="L127" s="47">
        <v>1500</v>
      </c>
      <c r="M127" s="48">
        <f>+IF(E127="",0,VLOOKUP(E127,[1]Code!J:K,2,0))</f>
        <v>8</v>
      </c>
      <c r="N127" s="49">
        <f t="shared" si="20"/>
        <v>0.125</v>
      </c>
      <c r="O127" s="50">
        <f t="shared" si="21"/>
        <v>0</v>
      </c>
      <c r="P127" s="50">
        <f t="shared" si="22"/>
        <v>0</v>
      </c>
      <c r="Q127" s="50">
        <f t="shared" si="23"/>
        <v>0</v>
      </c>
      <c r="R127" s="50">
        <f t="shared" si="24"/>
        <v>0</v>
      </c>
      <c r="S127" s="50">
        <f t="shared" si="25"/>
        <v>0</v>
      </c>
      <c r="T127" s="50">
        <f t="shared" si="26"/>
        <v>0</v>
      </c>
      <c r="U127" s="50">
        <f t="shared" si="27"/>
        <v>0</v>
      </c>
      <c r="V127" s="50">
        <f t="shared" si="28"/>
        <v>0</v>
      </c>
      <c r="W127" s="50">
        <f t="shared" si="29"/>
        <v>0</v>
      </c>
      <c r="X127" s="50">
        <f t="shared" si="30"/>
        <v>0</v>
      </c>
      <c r="Y127" s="50">
        <f t="shared" si="31"/>
        <v>1500</v>
      </c>
      <c r="Z127" s="50">
        <f t="shared" si="32"/>
        <v>187.5</v>
      </c>
      <c r="AA127" s="50">
        <f t="shared" si="33"/>
        <v>1312.5</v>
      </c>
      <c r="AB127" s="50">
        <f t="shared" si="34"/>
        <v>187.5</v>
      </c>
      <c r="AC127" s="50">
        <f t="shared" si="35"/>
        <v>1125</v>
      </c>
      <c r="AD127" s="50">
        <f t="shared" si="36"/>
        <v>187.5</v>
      </c>
      <c r="AE127" s="50">
        <f t="shared" si="37"/>
        <v>937.5</v>
      </c>
      <c r="AF127" s="50">
        <f t="shared" si="38"/>
        <v>187.5</v>
      </c>
      <c r="AG127" s="51" t="str">
        <f t="shared" si="39"/>
        <v xml:space="preserve">5 MACHINERY,UTILITIESALL </v>
      </c>
      <c r="AH127" s="41"/>
      <c r="AI127" s="51" t="s">
        <v>392</v>
      </c>
      <c r="AJ127" s="51" t="s">
        <v>393</v>
      </c>
    </row>
    <row r="128" spans="1:36" ht="15.95" customHeight="1">
      <c r="A128" s="41" t="s">
        <v>433</v>
      </c>
      <c r="B128" s="84" t="s">
        <v>389</v>
      </c>
      <c r="C128" s="83" t="s">
        <v>421</v>
      </c>
      <c r="D128" s="52" t="s">
        <v>434</v>
      </c>
      <c r="E128" s="67" t="s">
        <v>119</v>
      </c>
      <c r="F128" s="42" t="s">
        <v>72</v>
      </c>
      <c r="G128" s="42" t="s">
        <v>8</v>
      </c>
      <c r="H128" s="41">
        <v>2026</v>
      </c>
      <c r="I128" s="45">
        <v>46296</v>
      </c>
      <c r="J128" s="45"/>
      <c r="K128" s="80">
        <v>1</v>
      </c>
      <c r="L128" s="47">
        <v>1500</v>
      </c>
      <c r="M128" s="48">
        <f>+IF(E128="",0,VLOOKUP(E128,[1]Code!J:K,2,0))</f>
        <v>8</v>
      </c>
      <c r="N128" s="49">
        <f t="shared" si="20"/>
        <v>0.125</v>
      </c>
      <c r="O128" s="50">
        <f t="shared" si="21"/>
        <v>0</v>
      </c>
      <c r="P128" s="50">
        <f t="shared" si="22"/>
        <v>0</v>
      </c>
      <c r="Q128" s="50">
        <f t="shared" si="23"/>
        <v>0</v>
      </c>
      <c r="R128" s="50">
        <f t="shared" si="24"/>
        <v>0</v>
      </c>
      <c r="S128" s="50">
        <f t="shared" si="25"/>
        <v>0</v>
      </c>
      <c r="T128" s="50">
        <f t="shared" si="26"/>
        <v>0</v>
      </c>
      <c r="U128" s="50">
        <f t="shared" si="27"/>
        <v>0</v>
      </c>
      <c r="V128" s="50">
        <f t="shared" si="28"/>
        <v>0</v>
      </c>
      <c r="W128" s="50">
        <f t="shared" si="29"/>
        <v>0</v>
      </c>
      <c r="X128" s="50">
        <f t="shared" si="30"/>
        <v>0</v>
      </c>
      <c r="Y128" s="50">
        <f t="shared" si="31"/>
        <v>1500</v>
      </c>
      <c r="Z128" s="50">
        <f t="shared" si="32"/>
        <v>187.5</v>
      </c>
      <c r="AA128" s="50">
        <f t="shared" si="33"/>
        <v>1312.5</v>
      </c>
      <c r="AB128" s="50">
        <f t="shared" si="34"/>
        <v>187.5</v>
      </c>
      <c r="AC128" s="50">
        <f t="shared" si="35"/>
        <v>1125</v>
      </c>
      <c r="AD128" s="50">
        <f t="shared" si="36"/>
        <v>187.5</v>
      </c>
      <c r="AE128" s="50">
        <f t="shared" si="37"/>
        <v>937.5</v>
      </c>
      <c r="AF128" s="50">
        <f t="shared" si="38"/>
        <v>187.5</v>
      </c>
      <c r="AG128" s="51" t="str">
        <f t="shared" si="39"/>
        <v xml:space="preserve">5 MACHINERY,UTILITIESALL </v>
      </c>
      <c r="AH128" s="41"/>
      <c r="AI128" s="51" t="s">
        <v>392</v>
      </c>
      <c r="AJ128" s="51" t="s">
        <v>393</v>
      </c>
    </row>
    <row r="129" spans="1:36" ht="15.95" customHeight="1">
      <c r="A129" s="41" t="s">
        <v>435</v>
      </c>
      <c r="B129" s="84" t="s">
        <v>420</v>
      </c>
      <c r="C129" s="43" t="s">
        <v>436</v>
      </c>
      <c r="D129" s="52" t="s">
        <v>437</v>
      </c>
      <c r="E129" s="67" t="s">
        <v>119</v>
      </c>
      <c r="F129" s="42" t="s">
        <v>72</v>
      </c>
      <c r="G129" s="42" t="s">
        <v>8</v>
      </c>
      <c r="H129" s="41">
        <v>2026</v>
      </c>
      <c r="I129" s="45">
        <v>46143</v>
      </c>
      <c r="J129" s="45"/>
      <c r="K129" s="80">
        <v>1</v>
      </c>
      <c r="L129" s="47">
        <v>400</v>
      </c>
      <c r="M129" s="48">
        <f>+IF(E129="",0,VLOOKUP(E129,[1]Code!J:K,2,0))</f>
        <v>8</v>
      </c>
      <c r="N129" s="49">
        <f t="shared" si="20"/>
        <v>0.125</v>
      </c>
      <c r="O129" s="50">
        <f t="shared" si="21"/>
        <v>0</v>
      </c>
      <c r="P129" s="50">
        <f t="shared" si="22"/>
        <v>0</v>
      </c>
      <c r="Q129" s="50">
        <f t="shared" si="23"/>
        <v>0</v>
      </c>
      <c r="R129" s="50">
        <f t="shared" si="24"/>
        <v>0</v>
      </c>
      <c r="S129" s="50">
        <f t="shared" si="25"/>
        <v>0</v>
      </c>
      <c r="T129" s="50">
        <f t="shared" si="26"/>
        <v>0</v>
      </c>
      <c r="U129" s="50">
        <f t="shared" si="27"/>
        <v>0</v>
      </c>
      <c r="V129" s="50">
        <f t="shared" si="28"/>
        <v>0</v>
      </c>
      <c r="W129" s="50">
        <f t="shared" si="29"/>
        <v>0</v>
      </c>
      <c r="X129" s="50">
        <f t="shared" si="30"/>
        <v>0</v>
      </c>
      <c r="Y129" s="50">
        <f t="shared" si="31"/>
        <v>400</v>
      </c>
      <c r="Z129" s="50">
        <f t="shared" si="32"/>
        <v>50</v>
      </c>
      <c r="AA129" s="50">
        <f t="shared" si="33"/>
        <v>350</v>
      </c>
      <c r="AB129" s="50">
        <f t="shared" si="34"/>
        <v>50</v>
      </c>
      <c r="AC129" s="50">
        <f t="shared" si="35"/>
        <v>300</v>
      </c>
      <c r="AD129" s="50">
        <f t="shared" si="36"/>
        <v>50</v>
      </c>
      <c r="AE129" s="50">
        <f t="shared" si="37"/>
        <v>250</v>
      </c>
      <c r="AF129" s="50">
        <f t="shared" si="38"/>
        <v>50</v>
      </c>
      <c r="AG129" s="51" t="str">
        <f t="shared" si="39"/>
        <v xml:space="preserve">5 MACHINERY,UTILITIESALL </v>
      </c>
      <c r="AH129" s="41"/>
      <c r="AI129" s="51" t="s">
        <v>392</v>
      </c>
      <c r="AJ129" s="51" t="s">
        <v>393</v>
      </c>
    </row>
    <row r="130" spans="1:36" ht="15.95" customHeight="1">
      <c r="A130" s="41" t="s">
        <v>438</v>
      </c>
      <c r="B130" s="85" t="s">
        <v>439</v>
      </c>
      <c r="C130" s="43" t="s">
        <v>436</v>
      </c>
      <c r="D130" s="52" t="s">
        <v>440</v>
      </c>
      <c r="E130" s="67" t="s">
        <v>119</v>
      </c>
      <c r="F130" s="42" t="s">
        <v>72</v>
      </c>
      <c r="G130" s="42" t="s">
        <v>8</v>
      </c>
      <c r="H130" s="41">
        <v>2026</v>
      </c>
      <c r="I130" s="45">
        <v>46296</v>
      </c>
      <c r="J130" s="45"/>
      <c r="K130" s="80">
        <v>1</v>
      </c>
      <c r="L130" s="47">
        <v>2500</v>
      </c>
      <c r="M130" s="48">
        <f>+IF(E130="",0,VLOOKUP(E130,[1]Code!J:K,2,0))</f>
        <v>8</v>
      </c>
      <c r="N130" s="49">
        <f t="shared" si="20"/>
        <v>0.125</v>
      </c>
      <c r="O130" s="50">
        <f t="shared" si="21"/>
        <v>0</v>
      </c>
      <c r="P130" s="50">
        <f t="shared" si="22"/>
        <v>0</v>
      </c>
      <c r="Q130" s="50">
        <f t="shared" si="23"/>
        <v>0</v>
      </c>
      <c r="R130" s="50">
        <f t="shared" si="24"/>
        <v>0</v>
      </c>
      <c r="S130" s="50">
        <f t="shared" si="25"/>
        <v>0</v>
      </c>
      <c r="T130" s="50">
        <f t="shared" si="26"/>
        <v>0</v>
      </c>
      <c r="U130" s="50">
        <f t="shared" si="27"/>
        <v>0</v>
      </c>
      <c r="V130" s="50">
        <f t="shared" si="28"/>
        <v>0</v>
      </c>
      <c r="W130" s="50">
        <f t="shared" si="29"/>
        <v>0</v>
      </c>
      <c r="X130" s="50">
        <f t="shared" si="30"/>
        <v>0</v>
      </c>
      <c r="Y130" s="50">
        <f t="shared" si="31"/>
        <v>2500</v>
      </c>
      <c r="Z130" s="50">
        <f t="shared" si="32"/>
        <v>312.5</v>
      </c>
      <c r="AA130" s="50">
        <f t="shared" si="33"/>
        <v>2187.5</v>
      </c>
      <c r="AB130" s="50">
        <f t="shared" si="34"/>
        <v>312.5</v>
      </c>
      <c r="AC130" s="50">
        <f t="shared" si="35"/>
        <v>1875</v>
      </c>
      <c r="AD130" s="50">
        <f t="shared" si="36"/>
        <v>312.5</v>
      </c>
      <c r="AE130" s="50">
        <f t="shared" si="37"/>
        <v>1562.5</v>
      </c>
      <c r="AF130" s="50">
        <f t="shared" si="38"/>
        <v>312.5</v>
      </c>
      <c r="AG130" s="51" t="str">
        <f t="shared" si="39"/>
        <v xml:space="preserve">5 MACHINERY,UTILITIESALL </v>
      </c>
      <c r="AH130" s="41"/>
      <c r="AI130" s="51" t="s">
        <v>392</v>
      </c>
      <c r="AJ130" s="51" t="s">
        <v>393</v>
      </c>
    </row>
    <row r="131" spans="1:36" ht="15.95" customHeight="1">
      <c r="A131" s="41" t="s">
        <v>441</v>
      </c>
      <c r="B131" s="85" t="s">
        <v>439</v>
      </c>
      <c r="C131" s="43" t="s">
        <v>436</v>
      </c>
      <c r="D131" s="52" t="s">
        <v>442</v>
      </c>
      <c r="E131" s="67" t="s">
        <v>119</v>
      </c>
      <c r="F131" s="42" t="s">
        <v>72</v>
      </c>
      <c r="G131" s="42" t="s">
        <v>8</v>
      </c>
      <c r="H131" s="41">
        <v>2026</v>
      </c>
      <c r="I131" s="45">
        <v>46296</v>
      </c>
      <c r="J131" s="45"/>
      <c r="K131" s="80">
        <v>1</v>
      </c>
      <c r="L131" s="47">
        <v>5000</v>
      </c>
      <c r="M131" s="48">
        <f>+IF(E131="",0,VLOOKUP(E131,[1]Code!J:K,2,0))</f>
        <v>8</v>
      </c>
      <c r="N131" s="49">
        <f t="shared" si="20"/>
        <v>0.125</v>
      </c>
      <c r="O131" s="50">
        <f t="shared" si="21"/>
        <v>0</v>
      </c>
      <c r="P131" s="50">
        <f t="shared" si="22"/>
        <v>0</v>
      </c>
      <c r="Q131" s="50">
        <f t="shared" si="23"/>
        <v>0</v>
      </c>
      <c r="R131" s="50">
        <f t="shared" si="24"/>
        <v>0</v>
      </c>
      <c r="S131" s="50">
        <f t="shared" si="25"/>
        <v>0</v>
      </c>
      <c r="T131" s="50">
        <f t="shared" si="26"/>
        <v>0</v>
      </c>
      <c r="U131" s="50">
        <f t="shared" si="27"/>
        <v>0</v>
      </c>
      <c r="V131" s="50">
        <f t="shared" si="28"/>
        <v>0</v>
      </c>
      <c r="W131" s="50">
        <f t="shared" si="29"/>
        <v>0</v>
      </c>
      <c r="X131" s="50">
        <f t="shared" si="30"/>
        <v>0</v>
      </c>
      <c r="Y131" s="50">
        <f t="shared" si="31"/>
        <v>5000</v>
      </c>
      <c r="Z131" s="50">
        <f t="shared" si="32"/>
        <v>625</v>
      </c>
      <c r="AA131" s="50">
        <f t="shared" si="33"/>
        <v>4375</v>
      </c>
      <c r="AB131" s="50">
        <f t="shared" si="34"/>
        <v>625</v>
      </c>
      <c r="AC131" s="50">
        <f t="shared" si="35"/>
        <v>3750</v>
      </c>
      <c r="AD131" s="50">
        <f t="shared" si="36"/>
        <v>625</v>
      </c>
      <c r="AE131" s="50">
        <f t="shared" si="37"/>
        <v>3125</v>
      </c>
      <c r="AF131" s="50">
        <f t="shared" si="38"/>
        <v>625</v>
      </c>
      <c r="AG131" s="51" t="str">
        <f t="shared" si="39"/>
        <v xml:space="preserve">5 MACHINERY,UTILITIESALL </v>
      </c>
      <c r="AH131" s="41"/>
      <c r="AI131" s="51" t="s">
        <v>392</v>
      </c>
      <c r="AJ131" s="51" t="s">
        <v>393</v>
      </c>
    </row>
    <row r="132" spans="1:36" ht="15.95" customHeight="1">
      <c r="A132" s="41" t="s">
        <v>443</v>
      </c>
      <c r="B132" s="84" t="s">
        <v>420</v>
      </c>
      <c r="C132" s="43" t="s">
        <v>436</v>
      </c>
      <c r="D132" s="52" t="s">
        <v>444</v>
      </c>
      <c r="E132" s="67" t="s">
        <v>119</v>
      </c>
      <c r="F132" s="42" t="s">
        <v>72</v>
      </c>
      <c r="G132" s="42" t="s">
        <v>8</v>
      </c>
      <c r="H132" s="41">
        <v>2026</v>
      </c>
      <c r="I132" s="45">
        <v>46296</v>
      </c>
      <c r="J132" s="45"/>
      <c r="K132" s="80">
        <v>1</v>
      </c>
      <c r="L132" s="47">
        <v>1000</v>
      </c>
      <c r="M132" s="48">
        <f>+IF(E132="",0,VLOOKUP(E132,[1]Code!J:K,2,0))</f>
        <v>8</v>
      </c>
      <c r="N132" s="49">
        <f t="shared" si="20"/>
        <v>0.125</v>
      </c>
      <c r="O132" s="50">
        <f t="shared" si="21"/>
        <v>0</v>
      </c>
      <c r="P132" s="50">
        <f t="shared" si="22"/>
        <v>0</v>
      </c>
      <c r="Q132" s="50">
        <f t="shared" si="23"/>
        <v>0</v>
      </c>
      <c r="R132" s="50">
        <f t="shared" si="24"/>
        <v>0</v>
      </c>
      <c r="S132" s="50">
        <f t="shared" si="25"/>
        <v>0</v>
      </c>
      <c r="T132" s="50">
        <f t="shared" si="26"/>
        <v>0</v>
      </c>
      <c r="U132" s="50">
        <f t="shared" si="27"/>
        <v>0</v>
      </c>
      <c r="V132" s="50">
        <f t="shared" si="28"/>
        <v>0</v>
      </c>
      <c r="W132" s="50">
        <f t="shared" si="29"/>
        <v>0</v>
      </c>
      <c r="X132" s="50">
        <f t="shared" si="30"/>
        <v>0</v>
      </c>
      <c r="Y132" s="50">
        <f t="shared" si="31"/>
        <v>1000</v>
      </c>
      <c r="Z132" s="50">
        <f t="shared" si="32"/>
        <v>125</v>
      </c>
      <c r="AA132" s="50">
        <f t="shared" si="33"/>
        <v>875</v>
      </c>
      <c r="AB132" s="50">
        <f t="shared" si="34"/>
        <v>125</v>
      </c>
      <c r="AC132" s="50">
        <f t="shared" si="35"/>
        <v>750</v>
      </c>
      <c r="AD132" s="50">
        <f t="shared" si="36"/>
        <v>125</v>
      </c>
      <c r="AE132" s="50">
        <f t="shared" si="37"/>
        <v>625</v>
      </c>
      <c r="AF132" s="50">
        <f t="shared" si="38"/>
        <v>125</v>
      </c>
      <c r="AG132" s="51" t="str">
        <f t="shared" si="39"/>
        <v xml:space="preserve">5 MACHINERY,UTILITIESALL </v>
      </c>
      <c r="AH132" s="41"/>
      <c r="AI132" s="51" t="s">
        <v>392</v>
      </c>
      <c r="AJ132" s="51" t="s">
        <v>393</v>
      </c>
    </row>
    <row r="133" spans="1:36" ht="15.95" customHeight="1">
      <c r="A133" s="41" t="s">
        <v>445</v>
      </c>
      <c r="B133" s="85" t="s">
        <v>225</v>
      </c>
      <c r="C133" s="55" t="s">
        <v>446</v>
      </c>
      <c r="D133" s="52" t="s">
        <v>446</v>
      </c>
      <c r="E133" s="67" t="s">
        <v>119</v>
      </c>
      <c r="F133" s="42" t="s">
        <v>72</v>
      </c>
      <c r="G133" s="42" t="s">
        <v>8</v>
      </c>
      <c r="H133" s="41">
        <v>2026</v>
      </c>
      <c r="I133" s="45">
        <v>46296</v>
      </c>
      <c r="J133" s="45"/>
      <c r="K133" s="80">
        <v>1</v>
      </c>
      <c r="L133" s="47">
        <v>15000</v>
      </c>
      <c r="M133" s="48">
        <f>+IF(E133="",0,VLOOKUP(E133,[1]Code!J:K,2,0))</f>
        <v>8</v>
      </c>
      <c r="N133" s="49">
        <f t="shared" si="20"/>
        <v>0.125</v>
      </c>
      <c r="O133" s="50">
        <f t="shared" si="21"/>
        <v>0</v>
      </c>
      <c r="P133" s="50">
        <f t="shared" si="22"/>
        <v>0</v>
      </c>
      <c r="Q133" s="50">
        <f t="shared" si="23"/>
        <v>0</v>
      </c>
      <c r="R133" s="50">
        <f t="shared" si="24"/>
        <v>0</v>
      </c>
      <c r="S133" s="50">
        <f t="shared" si="25"/>
        <v>0</v>
      </c>
      <c r="T133" s="50">
        <f t="shared" si="26"/>
        <v>0</v>
      </c>
      <c r="U133" s="50">
        <f t="shared" si="27"/>
        <v>0</v>
      </c>
      <c r="V133" s="50">
        <f t="shared" si="28"/>
        <v>0</v>
      </c>
      <c r="W133" s="50">
        <f t="shared" si="29"/>
        <v>0</v>
      </c>
      <c r="X133" s="50">
        <f t="shared" si="30"/>
        <v>0</v>
      </c>
      <c r="Y133" s="50">
        <f t="shared" si="31"/>
        <v>15000</v>
      </c>
      <c r="Z133" s="50">
        <f t="shared" si="32"/>
        <v>1875</v>
      </c>
      <c r="AA133" s="50">
        <f t="shared" si="33"/>
        <v>13125</v>
      </c>
      <c r="AB133" s="50">
        <f t="shared" si="34"/>
        <v>1875</v>
      </c>
      <c r="AC133" s="50">
        <f t="shared" si="35"/>
        <v>11250</v>
      </c>
      <c r="AD133" s="50">
        <f t="shared" si="36"/>
        <v>1875</v>
      </c>
      <c r="AE133" s="50">
        <f t="shared" si="37"/>
        <v>9375</v>
      </c>
      <c r="AF133" s="50">
        <f t="shared" si="38"/>
        <v>1875</v>
      </c>
      <c r="AG133" s="51" t="str">
        <f t="shared" si="39"/>
        <v xml:space="preserve">5 MACHINERY,UTILITIESALL </v>
      </c>
      <c r="AH133" s="41"/>
      <c r="AI133" s="51" t="s">
        <v>392</v>
      </c>
      <c r="AJ133" s="51" t="s">
        <v>393</v>
      </c>
    </row>
    <row r="134" spans="1:36" ht="15.95" customHeight="1">
      <c r="A134" s="41" t="s">
        <v>447</v>
      </c>
      <c r="B134" s="85" t="s">
        <v>217</v>
      </c>
      <c r="C134" s="43" t="s">
        <v>448</v>
      </c>
      <c r="D134" s="52" t="s">
        <v>449</v>
      </c>
      <c r="E134" s="67" t="s">
        <v>119</v>
      </c>
      <c r="F134" s="42" t="s">
        <v>72</v>
      </c>
      <c r="G134" s="42" t="s">
        <v>8</v>
      </c>
      <c r="H134" s="41">
        <v>2026</v>
      </c>
      <c r="I134" s="45" t="s">
        <v>76</v>
      </c>
      <c r="J134" s="45"/>
      <c r="K134" s="80">
        <v>2</v>
      </c>
      <c r="L134" s="47">
        <v>1000</v>
      </c>
      <c r="M134" s="48">
        <f>+IF(E134="",0,VLOOKUP(E134,[1]Code!J:K,2,0))</f>
        <v>8</v>
      </c>
      <c r="N134" s="49">
        <f t="shared" si="20"/>
        <v>0.125</v>
      </c>
      <c r="O134" s="50">
        <f t="shared" si="21"/>
        <v>0</v>
      </c>
      <c r="P134" s="50">
        <f t="shared" si="22"/>
        <v>0</v>
      </c>
      <c r="Q134" s="50">
        <f t="shared" si="23"/>
        <v>0</v>
      </c>
      <c r="R134" s="50">
        <f t="shared" si="24"/>
        <v>0</v>
      </c>
      <c r="S134" s="50">
        <f t="shared" si="25"/>
        <v>0</v>
      </c>
      <c r="T134" s="50">
        <f t="shared" si="26"/>
        <v>0</v>
      </c>
      <c r="U134" s="50">
        <f t="shared" si="27"/>
        <v>0</v>
      </c>
      <c r="V134" s="50">
        <f t="shared" si="28"/>
        <v>0</v>
      </c>
      <c r="W134" s="50">
        <f t="shared" si="29"/>
        <v>0</v>
      </c>
      <c r="X134" s="50">
        <f t="shared" si="30"/>
        <v>0</v>
      </c>
      <c r="Y134" s="50">
        <f t="shared" si="31"/>
        <v>1000</v>
      </c>
      <c r="Z134" s="50">
        <f t="shared" si="32"/>
        <v>125</v>
      </c>
      <c r="AA134" s="50">
        <f t="shared" si="33"/>
        <v>875</v>
      </c>
      <c r="AB134" s="50">
        <f t="shared" si="34"/>
        <v>125</v>
      </c>
      <c r="AC134" s="50">
        <f t="shared" si="35"/>
        <v>750</v>
      </c>
      <c r="AD134" s="50">
        <f t="shared" si="36"/>
        <v>125</v>
      </c>
      <c r="AE134" s="50">
        <f t="shared" si="37"/>
        <v>625</v>
      </c>
      <c r="AF134" s="50">
        <f t="shared" si="38"/>
        <v>125</v>
      </c>
      <c r="AG134" s="51" t="str">
        <f t="shared" si="39"/>
        <v xml:space="preserve">5 MACHINERY,UTILITIESALL </v>
      </c>
      <c r="AH134" s="41"/>
      <c r="AI134" s="51" t="s">
        <v>392</v>
      </c>
      <c r="AJ134" s="51" t="s">
        <v>393</v>
      </c>
    </row>
    <row r="135" spans="1:36" ht="15.95" customHeight="1">
      <c r="A135" s="41" t="s">
        <v>450</v>
      </c>
      <c r="B135" s="85" t="s">
        <v>217</v>
      </c>
      <c r="C135" s="43" t="s">
        <v>448</v>
      </c>
      <c r="D135" s="52" t="s">
        <v>451</v>
      </c>
      <c r="E135" s="67" t="s">
        <v>119</v>
      </c>
      <c r="F135" s="42" t="s">
        <v>72</v>
      </c>
      <c r="G135" s="42" t="s">
        <v>8</v>
      </c>
      <c r="H135" s="41">
        <v>2026</v>
      </c>
      <c r="I135" s="45" t="s">
        <v>73</v>
      </c>
      <c r="J135" s="45"/>
      <c r="K135" s="80">
        <v>7</v>
      </c>
      <c r="L135" s="47">
        <v>3500</v>
      </c>
      <c r="M135" s="48">
        <f>+IF(E135="",0,VLOOKUP(E135,[1]Code!J:K,2,0))</f>
        <v>8</v>
      </c>
      <c r="N135" s="49">
        <f t="shared" si="20"/>
        <v>0.125</v>
      </c>
      <c r="O135" s="50">
        <f t="shared" si="21"/>
        <v>0</v>
      </c>
      <c r="P135" s="50">
        <f t="shared" si="22"/>
        <v>0</v>
      </c>
      <c r="Q135" s="50">
        <f t="shared" si="23"/>
        <v>0</v>
      </c>
      <c r="R135" s="50">
        <f t="shared" si="24"/>
        <v>0</v>
      </c>
      <c r="S135" s="50">
        <f t="shared" si="25"/>
        <v>0</v>
      </c>
      <c r="T135" s="50">
        <f t="shared" si="26"/>
        <v>0</v>
      </c>
      <c r="U135" s="50">
        <f t="shared" si="27"/>
        <v>0</v>
      </c>
      <c r="V135" s="50">
        <f t="shared" si="28"/>
        <v>0</v>
      </c>
      <c r="W135" s="50">
        <f t="shared" si="29"/>
        <v>0</v>
      </c>
      <c r="X135" s="50">
        <f t="shared" si="30"/>
        <v>0</v>
      </c>
      <c r="Y135" s="50">
        <f t="shared" si="31"/>
        <v>3500</v>
      </c>
      <c r="Z135" s="50">
        <f t="shared" si="32"/>
        <v>437.5</v>
      </c>
      <c r="AA135" s="50">
        <f t="shared" si="33"/>
        <v>3062.5</v>
      </c>
      <c r="AB135" s="50">
        <f t="shared" si="34"/>
        <v>437.5</v>
      </c>
      <c r="AC135" s="50">
        <f t="shared" si="35"/>
        <v>2625</v>
      </c>
      <c r="AD135" s="50">
        <f t="shared" si="36"/>
        <v>437.5</v>
      </c>
      <c r="AE135" s="50">
        <f t="shared" si="37"/>
        <v>2187.5</v>
      </c>
      <c r="AF135" s="50">
        <f t="shared" si="38"/>
        <v>437.5</v>
      </c>
      <c r="AG135" s="51" t="str">
        <f t="shared" si="39"/>
        <v xml:space="preserve">5 MACHINERY,UTILITIESALL </v>
      </c>
      <c r="AH135" s="41"/>
      <c r="AI135" s="51" t="s">
        <v>392</v>
      </c>
      <c r="AJ135" s="51" t="s">
        <v>393</v>
      </c>
    </row>
    <row r="136" spans="1:36" ht="15.95" customHeight="1">
      <c r="A136" s="41" t="s">
        <v>452</v>
      </c>
      <c r="B136" s="85" t="s">
        <v>217</v>
      </c>
      <c r="C136" s="43" t="s">
        <v>453</v>
      </c>
      <c r="D136" s="44" t="s">
        <v>451</v>
      </c>
      <c r="E136" s="67" t="s">
        <v>119</v>
      </c>
      <c r="F136" s="42" t="s">
        <v>72</v>
      </c>
      <c r="G136" s="42" t="s">
        <v>8</v>
      </c>
      <c r="H136" s="41">
        <v>2026</v>
      </c>
      <c r="I136" s="45" t="s">
        <v>73</v>
      </c>
      <c r="J136" s="45"/>
      <c r="K136" s="80">
        <v>3</v>
      </c>
      <c r="L136" s="47">
        <v>250</v>
      </c>
      <c r="M136" s="48">
        <f>+IF(E136="",0,VLOOKUP(E136,[1]Code!J:K,2,0))</f>
        <v>8</v>
      </c>
      <c r="N136" s="49">
        <f t="shared" si="20"/>
        <v>0.125</v>
      </c>
      <c r="O136" s="50">
        <f t="shared" si="21"/>
        <v>0</v>
      </c>
      <c r="P136" s="50">
        <f t="shared" si="22"/>
        <v>0</v>
      </c>
      <c r="Q136" s="50">
        <f t="shared" si="23"/>
        <v>0</v>
      </c>
      <c r="R136" s="50">
        <f t="shared" si="24"/>
        <v>0</v>
      </c>
      <c r="S136" s="50">
        <f t="shared" si="25"/>
        <v>0</v>
      </c>
      <c r="T136" s="50">
        <f t="shared" si="26"/>
        <v>0</v>
      </c>
      <c r="U136" s="50">
        <f t="shared" si="27"/>
        <v>0</v>
      </c>
      <c r="V136" s="50">
        <f t="shared" si="28"/>
        <v>0</v>
      </c>
      <c r="W136" s="50">
        <f t="shared" si="29"/>
        <v>0</v>
      </c>
      <c r="X136" s="50">
        <f t="shared" si="30"/>
        <v>0</v>
      </c>
      <c r="Y136" s="50">
        <f t="shared" si="31"/>
        <v>250</v>
      </c>
      <c r="Z136" s="50">
        <f t="shared" si="32"/>
        <v>31.25</v>
      </c>
      <c r="AA136" s="50">
        <f t="shared" si="33"/>
        <v>218.75</v>
      </c>
      <c r="AB136" s="50">
        <f t="shared" si="34"/>
        <v>31.25</v>
      </c>
      <c r="AC136" s="50">
        <f t="shared" si="35"/>
        <v>187.5</v>
      </c>
      <c r="AD136" s="50">
        <f t="shared" si="36"/>
        <v>31.25</v>
      </c>
      <c r="AE136" s="50">
        <f t="shared" si="37"/>
        <v>156.25</v>
      </c>
      <c r="AF136" s="50">
        <f t="shared" si="38"/>
        <v>31.25</v>
      </c>
      <c r="AG136" s="51" t="str">
        <f t="shared" si="39"/>
        <v xml:space="preserve">5 MACHINERY,UTILITIESALL </v>
      </c>
      <c r="AH136" s="41"/>
      <c r="AI136" s="51" t="s">
        <v>392</v>
      </c>
      <c r="AJ136" s="51" t="s">
        <v>393</v>
      </c>
    </row>
    <row r="137" spans="1:36" ht="15.95" customHeight="1">
      <c r="A137" s="41" t="s">
        <v>454</v>
      </c>
      <c r="B137" s="85" t="s">
        <v>225</v>
      </c>
      <c r="C137" s="86" t="s">
        <v>455</v>
      </c>
      <c r="D137" s="44" t="s">
        <v>456</v>
      </c>
      <c r="E137" s="67" t="s">
        <v>119</v>
      </c>
      <c r="F137" s="42" t="s">
        <v>72</v>
      </c>
      <c r="G137" s="42" t="s">
        <v>457</v>
      </c>
      <c r="H137" s="41">
        <v>2026</v>
      </c>
      <c r="I137" s="45">
        <v>46143</v>
      </c>
      <c r="J137" s="45"/>
      <c r="K137" s="87">
        <v>7</v>
      </c>
      <c r="L137" s="77">
        <v>500</v>
      </c>
      <c r="M137" s="48">
        <f>+IF(E137="",0,VLOOKUP(E137,[1]Code!J:K,2,0))</f>
        <v>8</v>
      </c>
      <c r="N137" s="49">
        <f t="shared" ref="N137:N200" si="40">IF(ISERROR(1/M137),0,1/M137)</f>
        <v>0.125</v>
      </c>
      <c r="O137" s="50">
        <f t="shared" ref="O137:O200" si="41">+IF(P$4&lt;1,0,IF(P$4=1,$L137,0))</f>
        <v>0</v>
      </c>
      <c r="P137" s="50">
        <f t="shared" ref="P137:P200" si="42">+IF(P$4&lt;1,0,IF($M137&lt;P$4,0,ROUND($L137*$N137,3)))</f>
        <v>0</v>
      </c>
      <c r="Q137" s="50">
        <f t="shared" ref="Q137:Q200" si="43">+IF(R$4&lt;1,0,IF(R$4=1,$L137,O137-P137))</f>
        <v>0</v>
      </c>
      <c r="R137" s="50">
        <f t="shared" ref="R137:R200" si="44">+IF(R$4&lt;1,0,IF($M137&lt;R$4,0,ROUND($L137*$N137,3)))</f>
        <v>0</v>
      </c>
      <c r="S137" s="50">
        <f t="shared" ref="S137:S200" si="45">+IF(T$4&lt;1,0,IF(T$4=1,$L137,Q137-R137))</f>
        <v>0</v>
      </c>
      <c r="T137" s="50">
        <f t="shared" ref="T137:T200" si="46">+IF(T$4&lt;1,0,IF($M137&lt;T$4,0,ROUND($L137*$N137,3)))</f>
        <v>0</v>
      </c>
      <c r="U137" s="50">
        <f t="shared" ref="U137:U200" si="47">+IF(V$4&lt;1,0,IF(V$4=1,$L137,S137-T137))</f>
        <v>0</v>
      </c>
      <c r="V137" s="50">
        <f t="shared" ref="V137:V200" si="48">+IF(V$4&lt;1,0,IF($M137&lt;V$4,0,ROUND($L137*$N137,3)))</f>
        <v>0</v>
      </c>
      <c r="W137" s="50">
        <f t="shared" ref="W137:W200" si="49">+IF(X$4&lt;1,0,IF(X$4=1,$L137,U137-V137))</f>
        <v>0</v>
      </c>
      <c r="X137" s="50">
        <f t="shared" ref="X137:X200" si="50">+IF(X$4&lt;1,0,IF($M137&lt;X$4,0,ROUND($L137*$N137,3)))</f>
        <v>0</v>
      </c>
      <c r="Y137" s="50">
        <f t="shared" ref="Y137:Y200" si="51">+IF(Z$4&lt;1,0,IF(Z$4=1,$L137,W137-X137))</f>
        <v>500</v>
      </c>
      <c r="Z137" s="50">
        <f t="shared" ref="Z137:Z200" si="52">+IF(Z$4&lt;1,0,IF($M137&lt;Z$4,0,ROUND($L137*$N137,3)))</f>
        <v>62.5</v>
      </c>
      <c r="AA137" s="50">
        <f t="shared" ref="AA137:AA200" si="53">+IF(AB$4&lt;1,0,IF(AB$4=1,$L137,Y137-Z137))</f>
        <v>437.5</v>
      </c>
      <c r="AB137" s="50">
        <f t="shared" ref="AB137:AB200" si="54">+IF(AB$4&lt;1,0,IF($M137&lt;AB$4,0,ROUND($L137*$N137,3)))</f>
        <v>62.5</v>
      </c>
      <c r="AC137" s="50">
        <f t="shared" ref="AC137:AC200" si="55">+IF(AD$4&lt;1,0,IF(AD$4=1,$L137,AA137-AB137))</f>
        <v>375</v>
      </c>
      <c r="AD137" s="50">
        <f t="shared" ref="AD137:AD200" si="56">+IF(AD$4&lt;1,0,IF($M137&lt;AD$4,0,ROUND($L137*$N137,3)))</f>
        <v>62.5</v>
      </c>
      <c r="AE137" s="50">
        <f t="shared" ref="AE137:AE200" si="57">+IF(AF$4&lt;1,0,IF(AF$4=1,$L137,AC137-AD137))</f>
        <v>312.5</v>
      </c>
      <c r="AF137" s="50">
        <f t="shared" ref="AF137:AF200" si="58">+IF(AF$4&lt;1,0,IF($M137&lt;AF$4,0,ROUND($L137*$N137,3)))</f>
        <v>62.5</v>
      </c>
      <c r="AG137" s="51" t="str">
        <f t="shared" ref="AG137:AG200" si="59">E137&amp;F137</f>
        <v xml:space="preserve">5 MACHINERY,UTILITIESALL </v>
      </c>
      <c r="AH137" s="41"/>
      <c r="AI137" s="51" t="s">
        <v>392</v>
      </c>
      <c r="AJ137" s="51" t="s">
        <v>393</v>
      </c>
    </row>
    <row r="138" spans="1:36" ht="15.95" customHeight="1">
      <c r="A138" s="41" t="s">
        <v>458</v>
      </c>
      <c r="B138" s="88" t="s">
        <v>225</v>
      </c>
      <c r="C138" s="86" t="s">
        <v>459</v>
      </c>
      <c r="D138" s="44" t="s">
        <v>460</v>
      </c>
      <c r="E138" s="67" t="s">
        <v>307</v>
      </c>
      <c r="F138" s="42" t="s">
        <v>72</v>
      </c>
      <c r="G138" s="42" t="s">
        <v>457</v>
      </c>
      <c r="H138" s="41">
        <v>2026</v>
      </c>
      <c r="I138" s="45">
        <v>46204</v>
      </c>
      <c r="J138" s="45"/>
      <c r="K138" s="87">
        <v>2</v>
      </c>
      <c r="L138" s="77">
        <v>1000</v>
      </c>
      <c r="M138" s="48">
        <f>+IF(E138="",0,VLOOKUP(E138,[1]Code!J:K,2,0))</f>
        <v>3</v>
      </c>
      <c r="N138" s="49">
        <f t="shared" si="40"/>
        <v>0.33333333333333331</v>
      </c>
      <c r="O138" s="50">
        <f t="shared" si="41"/>
        <v>0</v>
      </c>
      <c r="P138" s="50">
        <f t="shared" si="42"/>
        <v>0</v>
      </c>
      <c r="Q138" s="50">
        <f t="shared" si="43"/>
        <v>0</v>
      </c>
      <c r="R138" s="50">
        <f t="shared" si="44"/>
        <v>0</v>
      </c>
      <c r="S138" s="50">
        <f t="shared" si="45"/>
        <v>0</v>
      </c>
      <c r="T138" s="50">
        <f t="shared" si="46"/>
        <v>0</v>
      </c>
      <c r="U138" s="50">
        <f t="shared" si="47"/>
        <v>0</v>
      </c>
      <c r="V138" s="50">
        <f t="shared" si="48"/>
        <v>0</v>
      </c>
      <c r="W138" s="50">
        <f t="shared" si="49"/>
        <v>0</v>
      </c>
      <c r="X138" s="50">
        <f t="shared" si="50"/>
        <v>0</v>
      </c>
      <c r="Y138" s="50">
        <f t="shared" si="51"/>
        <v>1000</v>
      </c>
      <c r="Z138" s="50">
        <f t="shared" si="52"/>
        <v>333.33300000000003</v>
      </c>
      <c r="AA138" s="50">
        <f t="shared" si="53"/>
        <v>666.66699999999992</v>
      </c>
      <c r="AB138" s="50">
        <f t="shared" si="54"/>
        <v>333.33300000000003</v>
      </c>
      <c r="AC138" s="50">
        <f t="shared" si="55"/>
        <v>333.33399999999989</v>
      </c>
      <c r="AD138" s="50">
        <f t="shared" si="56"/>
        <v>333.33300000000003</v>
      </c>
      <c r="AE138" s="50">
        <f t="shared" si="57"/>
        <v>9.999999998626663E-4</v>
      </c>
      <c r="AF138" s="50">
        <f t="shared" si="58"/>
        <v>0</v>
      </c>
      <c r="AG138" s="51" t="str">
        <f t="shared" si="59"/>
        <v xml:space="preserve">11 COMPUTERSALL </v>
      </c>
      <c r="AH138" s="41"/>
      <c r="AI138" s="51" t="s">
        <v>392</v>
      </c>
      <c r="AJ138" s="51" t="s">
        <v>393</v>
      </c>
    </row>
    <row r="139" spans="1:36" ht="15.95" customHeight="1">
      <c r="A139" s="41" t="s">
        <v>461</v>
      </c>
      <c r="B139" s="85" t="s">
        <v>225</v>
      </c>
      <c r="C139" s="86" t="s">
        <v>462</v>
      </c>
      <c r="D139" s="44" t="s">
        <v>463</v>
      </c>
      <c r="E139" s="67" t="s">
        <v>119</v>
      </c>
      <c r="F139" s="42" t="s">
        <v>72</v>
      </c>
      <c r="G139" s="42" t="s">
        <v>457</v>
      </c>
      <c r="H139" s="41">
        <v>2026</v>
      </c>
      <c r="I139" s="45">
        <v>46388</v>
      </c>
      <c r="J139" s="45"/>
      <c r="K139" s="87">
        <v>3</v>
      </c>
      <c r="L139" s="77">
        <v>700</v>
      </c>
      <c r="M139" s="48">
        <f>+IF(E139="",0,VLOOKUP(E139,[1]Code!J:K,2,0))</f>
        <v>8</v>
      </c>
      <c r="N139" s="49">
        <f t="shared" si="40"/>
        <v>0.125</v>
      </c>
      <c r="O139" s="50">
        <f t="shared" si="41"/>
        <v>0</v>
      </c>
      <c r="P139" s="50">
        <f t="shared" si="42"/>
        <v>0</v>
      </c>
      <c r="Q139" s="50">
        <f t="shared" si="43"/>
        <v>0</v>
      </c>
      <c r="R139" s="50">
        <f t="shared" si="44"/>
        <v>0</v>
      </c>
      <c r="S139" s="50">
        <f t="shared" si="45"/>
        <v>0</v>
      </c>
      <c r="T139" s="50">
        <f t="shared" si="46"/>
        <v>0</v>
      </c>
      <c r="U139" s="50">
        <f t="shared" si="47"/>
        <v>0</v>
      </c>
      <c r="V139" s="50">
        <f t="shared" si="48"/>
        <v>0</v>
      </c>
      <c r="W139" s="50">
        <f t="shared" si="49"/>
        <v>0</v>
      </c>
      <c r="X139" s="50">
        <f t="shared" si="50"/>
        <v>0</v>
      </c>
      <c r="Y139" s="50">
        <f t="shared" si="51"/>
        <v>700</v>
      </c>
      <c r="Z139" s="50">
        <f t="shared" si="52"/>
        <v>87.5</v>
      </c>
      <c r="AA139" s="50">
        <f t="shared" si="53"/>
        <v>612.5</v>
      </c>
      <c r="AB139" s="50">
        <f t="shared" si="54"/>
        <v>87.5</v>
      </c>
      <c r="AC139" s="50">
        <f t="shared" si="55"/>
        <v>525</v>
      </c>
      <c r="AD139" s="50">
        <f t="shared" si="56"/>
        <v>87.5</v>
      </c>
      <c r="AE139" s="50">
        <f t="shared" si="57"/>
        <v>437.5</v>
      </c>
      <c r="AF139" s="50">
        <f t="shared" si="58"/>
        <v>87.5</v>
      </c>
      <c r="AG139" s="51" t="str">
        <f t="shared" si="59"/>
        <v xml:space="preserve">5 MACHINERY,UTILITIESALL </v>
      </c>
      <c r="AH139" s="41"/>
      <c r="AI139" s="51" t="s">
        <v>392</v>
      </c>
      <c r="AJ139" s="51" t="s">
        <v>393</v>
      </c>
    </row>
    <row r="140" spans="1:36" ht="15.95" customHeight="1">
      <c r="A140" s="41" t="s">
        <v>464</v>
      </c>
      <c r="B140" s="85" t="s">
        <v>225</v>
      </c>
      <c r="C140" s="86" t="s">
        <v>462</v>
      </c>
      <c r="D140" s="44" t="s">
        <v>465</v>
      </c>
      <c r="E140" s="67" t="s">
        <v>119</v>
      </c>
      <c r="F140" s="42" t="s">
        <v>72</v>
      </c>
      <c r="G140" s="42" t="s">
        <v>457</v>
      </c>
      <c r="H140" s="41">
        <v>2026</v>
      </c>
      <c r="I140" s="45">
        <v>46388</v>
      </c>
      <c r="J140" s="45"/>
      <c r="K140" s="87">
        <v>1</v>
      </c>
      <c r="L140" s="77">
        <v>300</v>
      </c>
      <c r="M140" s="48">
        <f>+IF(E140="",0,VLOOKUP(E140,[1]Code!J:K,2,0))</f>
        <v>8</v>
      </c>
      <c r="N140" s="49">
        <f t="shared" si="40"/>
        <v>0.125</v>
      </c>
      <c r="O140" s="50">
        <f t="shared" si="41"/>
        <v>0</v>
      </c>
      <c r="P140" s="50">
        <f t="shared" si="42"/>
        <v>0</v>
      </c>
      <c r="Q140" s="50">
        <f t="shared" si="43"/>
        <v>0</v>
      </c>
      <c r="R140" s="50">
        <f t="shared" si="44"/>
        <v>0</v>
      </c>
      <c r="S140" s="50">
        <f t="shared" si="45"/>
        <v>0</v>
      </c>
      <c r="T140" s="50">
        <f t="shared" si="46"/>
        <v>0</v>
      </c>
      <c r="U140" s="50">
        <f t="shared" si="47"/>
        <v>0</v>
      </c>
      <c r="V140" s="50">
        <f t="shared" si="48"/>
        <v>0</v>
      </c>
      <c r="W140" s="50">
        <f t="shared" si="49"/>
        <v>0</v>
      </c>
      <c r="X140" s="50">
        <f t="shared" si="50"/>
        <v>0</v>
      </c>
      <c r="Y140" s="50">
        <f t="shared" si="51"/>
        <v>300</v>
      </c>
      <c r="Z140" s="50">
        <f t="shared" si="52"/>
        <v>37.5</v>
      </c>
      <c r="AA140" s="50">
        <f t="shared" si="53"/>
        <v>262.5</v>
      </c>
      <c r="AB140" s="50">
        <f t="shared" si="54"/>
        <v>37.5</v>
      </c>
      <c r="AC140" s="50">
        <f t="shared" si="55"/>
        <v>225</v>
      </c>
      <c r="AD140" s="50">
        <f t="shared" si="56"/>
        <v>37.5</v>
      </c>
      <c r="AE140" s="50">
        <f t="shared" si="57"/>
        <v>187.5</v>
      </c>
      <c r="AF140" s="50">
        <f t="shared" si="58"/>
        <v>37.5</v>
      </c>
      <c r="AG140" s="51" t="str">
        <f t="shared" si="59"/>
        <v xml:space="preserve">5 MACHINERY,UTILITIESALL </v>
      </c>
      <c r="AH140" s="41"/>
      <c r="AI140" s="51" t="s">
        <v>392</v>
      </c>
      <c r="AJ140" s="51" t="s">
        <v>393</v>
      </c>
    </row>
    <row r="141" spans="1:36" ht="15.95" customHeight="1">
      <c r="A141" s="41" t="s">
        <v>466</v>
      </c>
      <c r="B141" s="88" t="s">
        <v>225</v>
      </c>
      <c r="C141" s="86" t="s">
        <v>467</v>
      </c>
      <c r="D141" s="44" t="s">
        <v>468</v>
      </c>
      <c r="E141" s="67" t="s">
        <v>119</v>
      </c>
      <c r="F141" s="42" t="s">
        <v>72</v>
      </c>
      <c r="G141" s="42" t="s">
        <v>8</v>
      </c>
      <c r="H141" s="41">
        <v>2026</v>
      </c>
      <c r="I141" s="45" t="s">
        <v>414</v>
      </c>
      <c r="J141" s="45"/>
      <c r="K141" s="87">
        <v>4</v>
      </c>
      <c r="L141" s="77">
        <v>40000</v>
      </c>
      <c r="M141" s="48">
        <f>+IF(E141="",0,VLOOKUP(E141,[1]Code!J:K,2,0))</f>
        <v>8</v>
      </c>
      <c r="N141" s="49">
        <f t="shared" si="40"/>
        <v>0.125</v>
      </c>
      <c r="O141" s="50">
        <f t="shared" si="41"/>
        <v>0</v>
      </c>
      <c r="P141" s="50">
        <f t="shared" si="42"/>
        <v>0</v>
      </c>
      <c r="Q141" s="50">
        <f t="shared" si="43"/>
        <v>0</v>
      </c>
      <c r="R141" s="50">
        <f t="shared" si="44"/>
        <v>0</v>
      </c>
      <c r="S141" s="50">
        <f t="shared" si="45"/>
        <v>0</v>
      </c>
      <c r="T141" s="50">
        <f t="shared" si="46"/>
        <v>0</v>
      </c>
      <c r="U141" s="50">
        <f t="shared" si="47"/>
        <v>0</v>
      </c>
      <c r="V141" s="50">
        <f t="shared" si="48"/>
        <v>0</v>
      </c>
      <c r="W141" s="50">
        <f t="shared" si="49"/>
        <v>0</v>
      </c>
      <c r="X141" s="50">
        <f t="shared" si="50"/>
        <v>0</v>
      </c>
      <c r="Y141" s="50">
        <f t="shared" si="51"/>
        <v>40000</v>
      </c>
      <c r="Z141" s="50">
        <f t="shared" si="52"/>
        <v>5000</v>
      </c>
      <c r="AA141" s="50">
        <f t="shared" si="53"/>
        <v>35000</v>
      </c>
      <c r="AB141" s="50">
        <f t="shared" si="54"/>
        <v>5000</v>
      </c>
      <c r="AC141" s="50">
        <f t="shared" si="55"/>
        <v>30000</v>
      </c>
      <c r="AD141" s="50">
        <f t="shared" si="56"/>
        <v>5000</v>
      </c>
      <c r="AE141" s="50">
        <f t="shared" si="57"/>
        <v>25000</v>
      </c>
      <c r="AF141" s="50">
        <f t="shared" si="58"/>
        <v>5000</v>
      </c>
      <c r="AG141" s="51" t="str">
        <f t="shared" si="59"/>
        <v xml:space="preserve">5 MACHINERY,UTILITIESALL </v>
      </c>
      <c r="AH141" s="41"/>
      <c r="AI141" s="51" t="s">
        <v>392</v>
      </c>
      <c r="AJ141" s="51" t="s">
        <v>393</v>
      </c>
    </row>
    <row r="142" spans="1:36" ht="15.95" customHeight="1">
      <c r="A142" s="41" t="s">
        <v>469</v>
      </c>
      <c r="B142" s="88" t="s">
        <v>225</v>
      </c>
      <c r="C142" s="86" t="s">
        <v>470</v>
      </c>
      <c r="D142" s="44" t="s">
        <v>471</v>
      </c>
      <c r="E142" s="67" t="s">
        <v>119</v>
      </c>
      <c r="F142" s="42" t="s">
        <v>72</v>
      </c>
      <c r="G142" s="42" t="s">
        <v>8</v>
      </c>
      <c r="H142" s="41">
        <v>2026</v>
      </c>
      <c r="I142" s="45" t="s">
        <v>414</v>
      </c>
      <c r="J142" s="45"/>
      <c r="K142" s="87">
        <v>1</v>
      </c>
      <c r="L142" s="77">
        <v>25000</v>
      </c>
      <c r="M142" s="48">
        <f>+IF(E142="",0,VLOOKUP(E142,[1]Code!J:K,2,0))</f>
        <v>8</v>
      </c>
      <c r="N142" s="49">
        <f t="shared" si="40"/>
        <v>0.125</v>
      </c>
      <c r="O142" s="50">
        <f t="shared" si="41"/>
        <v>0</v>
      </c>
      <c r="P142" s="50">
        <f t="shared" si="42"/>
        <v>0</v>
      </c>
      <c r="Q142" s="50">
        <f t="shared" si="43"/>
        <v>0</v>
      </c>
      <c r="R142" s="50">
        <f t="shared" si="44"/>
        <v>0</v>
      </c>
      <c r="S142" s="50">
        <f t="shared" si="45"/>
        <v>0</v>
      </c>
      <c r="T142" s="50">
        <f t="shared" si="46"/>
        <v>0</v>
      </c>
      <c r="U142" s="50">
        <f t="shared" si="47"/>
        <v>0</v>
      </c>
      <c r="V142" s="50">
        <f t="shared" si="48"/>
        <v>0</v>
      </c>
      <c r="W142" s="50">
        <f t="shared" si="49"/>
        <v>0</v>
      </c>
      <c r="X142" s="50">
        <f t="shared" si="50"/>
        <v>0</v>
      </c>
      <c r="Y142" s="50">
        <f t="shared" si="51"/>
        <v>25000</v>
      </c>
      <c r="Z142" s="50">
        <f t="shared" si="52"/>
        <v>3125</v>
      </c>
      <c r="AA142" s="50">
        <f t="shared" si="53"/>
        <v>21875</v>
      </c>
      <c r="AB142" s="50">
        <f t="shared" si="54"/>
        <v>3125</v>
      </c>
      <c r="AC142" s="50">
        <f t="shared" si="55"/>
        <v>18750</v>
      </c>
      <c r="AD142" s="50">
        <f t="shared" si="56"/>
        <v>3125</v>
      </c>
      <c r="AE142" s="50">
        <f t="shared" si="57"/>
        <v>15625</v>
      </c>
      <c r="AF142" s="50">
        <f t="shared" si="58"/>
        <v>3125</v>
      </c>
      <c r="AG142" s="51" t="str">
        <f t="shared" si="59"/>
        <v xml:space="preserve">5 MACHINERY,UTILITIESALL </v>
      </c>
      <c r="AH142" s="41"/>
      <c r="AI142" s="51" t="s">
        <v>392</v>
      </c>
      <c r="AJ142" s="51" t="s">
        <v>393</v>
      </c>
    </row>
    <row r="143" spans="1:36" ht="15.95" customHeight="1">
      <c r="A143" s="89" t="s">
        <v>472</v>
      </c>
      <c r="B143" s="90" t="s">
        <v>225</v>
      </c>
      <c r="C143" s="91" t="s">
        <v>473</v>
      </c>
      <c r="D143" s="92" t="s">
        <v>474</v>
      </c>
      <c r="E143" s="93" t="s">
        <v>119</v>
      </c>
      <c r="F143" s="94" t="s">
        <v>98</v>
      </c>
      <c r="G143" s="94" t="s">
        <v>8</v>
      </c>
      <c r="H143" s="95">
        <v>2026</v>
      </c>
      <c r="I143" s="96" t="s">
        <v>76</v>
      </c>
      <c r="J143" s="97"/>
      <c r="K143" s="98">
        <v>1</v>
      </c>
      <c r="L143" s="99">
        <v>3000000</v>
      </c>
      <c r="M143" s="48">
        <f>+IF(E143="",0,VLOOKUP(E143,[1]Code!J:K,2,0))</f>
        <v>8</v>
      </c>
      <c r="N143" s="49">
        <f t="shared" si="40"/>
        <v>0.125</v>
      </c>
      <c r="O143" s="50">
        <f t="shared" si="41"/>
        <v>0</v>
      </c>
      <c r="P143" s="50">
        <f t="shared" si="42"/>
        <v>0</v>
      </c>
      <c r="Q143" s="50">
        <f t="shared" si="43"/>
        <v>0</v>
      </c>
      <c r="R143" s="50">
        <f t="shared" si="44"/>
        <v>0</v>
      </c>
      <c r="S143" s="50">
        <f t="shared" si="45"/>
        <v>0</v>
      </c>
      <c r="T143" s="50">
        <f t="shared" si="46"/>
        <v>0</v>
      </c>
      <c r="U143" s="50">
        <f t="shared" si="47"/>
        <v>0</v>
      </c>
      <c r="V143" s="50">
        <f t="shared" si="48"/>
        <v>0</v>
      </c>
      <c r="W143" s="50">
        <f t="shared" si="49"/>
        <v>0</v>
      </c>
      <c r="X143" s="50">
        <f t="shared" si="50"/>
        <v>0</v>
      </c>
      <c r="Y143" s="50">
        <f t="shared" si="51"/>
        <v>3000000</v>
      </c>
      <c r="Z143" s="50">
        <f t="shared" si="52"/>
        <v>375000</v>
      </c>
      <c r="AA143" s="50">
        <f t="shared" si="53"/>
        <v>2625000</v>
      </c>
      <c r="AB143" s="50">
        <f t="shared" si="54"/>
        <v>375000</v>
      </c>
      <c r="AC143" s="50">
        <f t="shared" si="55"/>
        <v>2250000</v>
      </c>
      <c r="AD143" s="50">
        <f t="shared" si="56"/>
        <v>375000</v>
      </c>
      <c r="AE143" s="50">
        <f t="shared" si="57"/>
        <v>1875000</v>
      </c>
      <c r="AF143" s="50">
        <f t="shared" si="58"/>
        <v>375000</v>
      </c>
      <c r="AG143" s="51" t="str">
        <f t="shared" si="59"/>
        <v>5 MACHINERY,UTILITIESALL</v>
      </c>
      <c r="AH143" s="41"/>
      <c r="AI143" s="51" t="s">
        <v>392</v>
      </c>
      <c r="AJ143" s="51" t="s">
        <v>393</v>
      </c>
    </row>
    <row r="144" spans="1:36" ht="15.95" customHeight="1">
      <c r="A144" s="89" t="s">
        <v>475</v>
      </c>
      <c r="B144" s="90" t="s">
        <v>225</v>
      </c>
      <c r="C144" s="91" t="s">
        <v>473</v>
      </c>
      <c r="D144" s="92" t="s">
        <v>476</v>
      </c>
      <c r="E144" s="93" t="s">
        <v>119</v>
      </c>
      <c r="F144" s="94" t="s">
        <v>477</v>
      </c>
      <c r="G144" s="94" t="s">
        <v>8</v>
      </c>
      <c r="H144" s="95">
        <v>2026</v>
      </c>
      <c r="I144" s="96" t="s">
        <v>135</v>
      </c>
      <c r="J144" s="97"/>
      <c r="K144" s="98">
        <v>1</v>
      </c>
      <c r="L144" s="99">
        <f>(550*1000000)/1000</f>
        <v>550000</v>
      </c>
      <c r="M144" s="48">
        <f>+IF(E144="",0,VLOOKUP(E144,[1]Code!J:K,2,0))</f>
        <v>8</v>
      </c>
      <c r="N144" s="49">
        <f t="shared" si="40"/>
        <v>0.125</v>
      </c>
      <c r="O144" s="50">
        <f t="shared" si="41"/>
        <v>0</v>
      </c>
      <c r="P144" s="50">
        <f t="shared" si="42"/>
        <v>0</v>
      </c>
      <c r="Q144" s="50">
        <f t="shared" si="43"/>
        <v>0</v>
      </c>
      <c r="R144" s="50">
        <f t="shared" si="44"/>
        <v>0</v>
      </c>
      <c r="S144" s="50">
        <f t="shared" si="45"/>
        <v>0</v>
      </c>
      <c r="T144" s="50">
        <f t="shared" si="46"/>
        <v>0</v>
      </c>
      <c r="U144" s="50">
        <f t="shared" si="47"/>
        <v>0</v>
      </c>
      <c r="V144" s="50">
        <f t="shared" si="48"/>
        <v>0</v>
      </c>
      <c r="W144" s="50">
        <f t="shared" si="49"/>
        <v>0</v>
      </c>
      <c r="X144" s="50">
        <f t="shared" si="50"/>
        <v>0</v>
      </c>
      <c r="Y144" s="50">
        <f t="shared" si="51"/>
        <v>550000</v>
      </c>
      <c r="Z144" s="50">
        <f t="shared" si="52"/>
        <v>68750</v>
      </c>
      <c r="AA144" s="50">
        <f t="shared" si="53"/>
        <v>481250</v>
      </c>
      <c r="AB144" s="50">
        <f t="shared" si="54"/>
        <v>68750</v>
      </c>
      <c r="AC144" s="50">
        <f t="shared" si="55"/>
        <v>412500</v>
      </c>
      <c r="AD144" s="50">
        <f t="shared" si="56"/>
        <v>68750</v>
      </c>
      <c r="AE144" s="50">
        <f t="shared" si="57"/>
        <v>343750</v>
      </c>
      <c r="AF144" s="50">
        <f t="shared" si="58"/>
        <v>68750</v>
      </c>
      <c r="AG144" s="51" t="str">
        <f t="shared" si="59"/>
        <v>5 MACHINERY,UTILITIESXF3P1</v>
      </c>
      <c r="AH144" s="41"/>
      <c r="AI144" s="51" t="s">
        <v>392</v>
      </c>
      <c r="AJ144" s="51" t="s">
        <v>393</v>
      </c>
    </row>
    <row r="145" spans="1:36" ht="15.95" customHeight="1">
      <c r="A145" s="89" t="s">
        <v>478</v>
      </c>
      <c r="B145" s="90" t="s">
        <v>225</v>
      </c>
      <c r="C145" s="91" t="s">
        <v>473</v>
      </c>
      <c r="D145" s="92" t="s">
        <v>479</v>
      </c>
      <c r="E145" s="93" t="s">
        <v>169</v>
      </c>
      <c r="F145" s="94" t="s">
        <v>72</v>
      </c>
      <c r="G145" s="94" t="s">
        <v>8</v>
      </c>
      <c r="H145" s="95">
        <v>2026</v>
      </c>
      <c r="I145" s="96" t="s">
        <v>414</v>
      </c>
      <c r="J145" s="97"/>
      <c r="K145" s="98">
        <v>1</v>
      </c>
      <c r="L145" s="99">
        <v>2300000</v>
      </c>
      <c r="M145" s="48">
        <f>+IF(E145="",0,VLOOKUP(E145,[1]Code!J:K,2,0))</f>
        <v>30</v>
      </c>
      <c r="N145" s="49">
        <f t="shared" si="40"/>
        <v>3.3333333333333333E-2</v>
      </c>
      <c r="O145" s="50">
        <f t="shared" si="41"/>
        <v>0</v>
      </c>
      <c r="P145" s="50">
        <f t="shared" si="42"/>
        <v>0</v>
      </c>
      <c r="Q145" s="50">
        <f t="shared" si="43"/>
        <v>0</v>
      </c>
      <c r="R145" s="50">
        <f t="shared" si="44"/>
        <v>0</v>
      </c>
      <c r="S145" s="50">
        <f t="shared" si="45"/>
        <v>0</v>
      </c>
      <c r="T145" s="50">
        <f t="shared" si="46"/>
        <v>0</v>
      </c>
      <c r="U145" s="50">
        <f t="shared" si="47"/>
        <v>0</v>
      </c>
      <c r="V145" s="50">
        <f t="shared" si="48"/>
        <v>0</v>
      </c>
      <c r="W145" s="50">
        <f t="shared" si="49"/>
        <v>0</v>
      </c>
      <c r="X145" s="50">
        <f t="shared" si="50"/>
        <v>0</v>
      </c>
      <c r="Y145" s="50">
        <f t="shared" si="51"/>
        <v>2300000</v>
      </c>
      <c r="Z145" s="50">
        <f t="shared" si="52"/>
        <v>76666.667000000001</v>
      </c>
      <c r="AA145" s="50">
        <f t="shared" si="53"/>
        <v>2223333.3330000001</v>
      </c>
      <c r="AB145" s="50">
        <f t="shared" si="54"/>
        <v>76666.667000000001</v>
      </c>
      <c r="AC145" s="50">
        <f t="shared" si="55"/>
        <v>2146666.6660000002</v>
      </c>
      <c r="AD145" s="50">
        <f t="shared" si="56"/>
        <v>76666.667000000001</v>
      </c>
      <c r="AE145" s="50">
        <f t="shared" si="57"/>
        <v>2069999.9990000003</v>
      </c>
      <c r="AF145" s="50">
        <f t="shared" si="58"/>
        <v>76666.667000000001</v>
      </c>
      <c r="AG145" s="51" t="str">
        <f t="shared" si="59"/>
        <v xml:space="preserve">1 BUILDINGALL </v>
      </c>
      <c r="AH145" s="41"/>
      <c r="AI145" s="51" t="s">
        <v>392</v>
      </c>
      <c r="AJ145" s="51" t="s">
        <v>393</v>
      </c>
    </row>
    <row r="146" spans="1:36" ht="15.95" customHeight="1">
      <c r="A146" s="89" t="s">
        <v>480</v>
      </c>
      <c r="B146" s="90" t="s">
        <v>225</v>
      </c>
      <c r="C146" s="91" t="s">
        <v>473</v>
      </c>
      <c r="D146" s="92" t="s">
        <v>481</v>
      </c>
      <c r="E146" s="100" t="s">
        <v>119</v>
      </c>
      <c r="F146" s="94" t="s">
        <v>98</v>
      </c>
      <c r="G146" s="94" t="s">
        <v>8</v>
      </c>
      <c r="H146" s="95">
        <v>2026</v>
      </c>
      <c r="I146" s="96" t="s">
        <v>414</v>
      </c>
      <c r="J146" s="97"/>
      <c r="K146" s="98">
        <v>1</v>
      </c>
      <c r="L146" s="99">
        <v>49042</v>
      </c>
      <c r="M146" s="48">
        <f>+IF(E146="",0,VLOOKUP(E146,[1]Code!J:K,2,0))</f>
        <v>8</v>
      </c>
      <c r="N146" s="49">
        <f t="shared" si="40"/>
        <v>0.125</v>
      </c>
      <c r="O146" s="50">
        <f t="shared" si="41"/>
        <v>0</v>
      </c>
      <c r="P146" s="50">
        <f t="shared" si="42"/>
        <v>0</v>
      </c>
      <c r="Q146" s="50">
        <f t="shared" si="43"/>
        <v>0</v>
      </c>
      <c r="R146" s="50">
        <f t="shared" si="44"/>
        <v>0</v>
      </c>
      <c r="S146" s="50">
        <f t="shared" si="45"/>
        <v>0</v>
      </c>
      <c r="T146" s="50">
        <f t="shared" si="46"/>
        <v>0</v>
      </c>
      <c r="U146" s="50">
        <f t="shared" si="47"/>
        <v>0</v>
      </c>
      <c r="V146" s="50">
        <f t="shared" si="48"/>
        <v>0</v>
      </c>
      <c r="W146" s="50">
        <f t="shared" si="49"/>
        <v>0</v>
      </c>
      <c r="X146" s="50">
        <f t="shared" si="50"/>
        <v>0</v>
      </c>
      <c r="Y146" s="50">
        <f t="shared" si="51"/>
        <v>49042</v>
      </c>
      <c r="Z146" s="50">
        <f t="shared" si="52"/>
        <v>6130.25</v>
      </c>
      <c r="AA146" s="50">
        <f t="shared" si="53"/>
        <v>42911.75</v>
      </c>
      <c r="AB146" s="50">
        <f t="shared" si="54"/>
        <v>6130.25</v>
      </c>
      <c r="AC146" s="50">
        <f t="shared" si="55"/>
        <v>36781.5</v>
      </c>
      <c r="AD146" s="50">
        <f t="shared" si="56"/>
        <v>6130.25</v>
      </c>
      <c r="AE146" s="50">
        <f t="shared" si="57"/>
        <v>30651.25</v>
      </c>
      <c r="AF146" s="50">
        <f t="shared" si="58"/>
        <v>6130.25</v>
      </c>
      <c r="AG146" s="51" t="str">
        <f t="shared" si="59"/>
        <v>5 MACHINERY,UTILITIESALL</v>
      </c>
      <c r="AH146" s="41"/>
      <c r="AI146" s="51" t="s">
        <v>392</v>
      </c>
      <c r="AJ146" s="51" t="s">
        <v>393</v>
      </c>
    </row>
    <row r="147" spans="1:36" ht="15.95" customHeight="1">
      <c r="A147" s="89" t="s">
        <v>482</v>
      </c>
      <c r="B147" s="90" t="s">
        <v>225</v>
      </c>
      <c r="C147" s="91" t="s">
        <v>473</v>
      </c>
      <c r="D147" s="92" t="s">
        <v>483</v>
      </c>
      <c r="E147" s="100" t="s">
        <v>119</v>
      </c>
      <c r="F147" s="94" t="s">
        <v>98</v>
      </c>
      <c r="G147" s="94" t="s">
        <v>8</v>
      </c>
      <c r="H147" s="95">
        <v>2026</v>
      </c>
      <c r="I147" s="96"/>
      <c r="J147" s="97"/>
      <c r="K147" s="98"/>
      <c r="L147" s="99">
        <v>0</v>
      </c>
      <c r="M147" s="48">
        <f>+IF(E147="",0,VLOOKUP(E147,[1]Code!J:K,2,0))</f>
        <v>8</v>
      </c>
      <c r="N147" s="49">
        <f t="shared" si="40"/>
        <v>0.125</v>
      </c>
      <c r="O147" s="50">
        <f t="shared" si="41"/>
        <v>0</v>
      </c>
      <c r="P147" s="50">
        <f t="shared" si="42"/>
        <v>0</v>
      </c>
      <c r="Q147" s="50">
        <f t="shared" si="43"/>
        <v>0</v>
      </c>
      <c r="R147" s="50">
        <f t="shared" si="44"/>
        <v>0</v>
      </c>
      <c r="S147" s="50">
        <f t="shared" si="45"/>
        <v>0</v>
      </c>
      <c r="T147" s="50">
        <f t="shared" si="46"/>
        <v>0</v>
      </c>
      <c r="U147" s="50">
        <f t="shared" si="47"/>
        <v>0</v>
      </c>
      <c r="V147" s="50">
        <f t="shared" si="48"/>
        <v>0</v>
      </c>
      <c r="W147" s="50">
        <f t="shared" si="49"/>
        <v>0</v>
      </c>
      <c r="X147" s="50">
        <f t="shared" si="50"/>
        <v>0</v>
      </c>
      <c r="Y147" s="50">
        <f t="shared" si="51"/>
        <v>0</v>
      </c>
      <c r="Z147" s="50">
        <f t="shared" si="52"/>
        <v>0</v>
      </c>
      <c r="AA147" s="50">
        <f t="shared" si="53"/>
        <v>0</v>
      </c>
      <c r="AB147" s="50">
        <f t="shared" si="54"/>
        <v>0</v>
      </c>
      <c r="AC147" s="50">
        <f t="shared" si="55"/>
        <v>0</v>
      </c>
      <c r="AD147" s="50">
        <f t="shared" si="56"/>
        <v>0</v>
      </c>
      <c r="AE147" s="50">
        <f t="shared" si="57"/>
        <v>0</v>
      </c>
      <c r="AF147" s="50">
        <f t="shared" si="58"/>
        <v>0</v>
      </c>
      <c r="AG147" s="51" t="str">
        <f t="shared" si="59"/>
        <v>5 MACHINERY,UTILITIESALL</v>
      </c>
      <c r="AH147" s="41"/>
      <c r="AI147" s="51" t="s">
        <v>392</v>
      </c>
      <c r="AJ147" s="51" t="s">
        <v>393</v>
      </c>
    </row>
    <row r="148" spans="1:36" ht="15.95" customHeight="1">
      <c r="A148" s="101" t="s">
        <v>484</v>
      </c>
      <c r="B148" s="102" t="s">
        <v>217</v>
      </c>
      <c r="C148" s="102" t="s">
        <v>485</v>
      </c>
      <c r="D148" s="103" t="s">
        <v>485</v>
      </c>
      <c r="E148" s="104" t="s">
        <v>119</v>
      </c>
      <c r="F148" s="101" t="s">
        <v>72</v>
      </c>
      <c r="G148" s="101" t="s">
        <v>486</v>
      </c>
      <c r="H148" s="101">
        <v>2026</v>
      </c>
      <c r="I148" s="105">
        <v>46371</v>
      </c>
      <c r="J148" s="105"/>
      <c r="K148" s="104">
        <v>2</v>
      </c>
      <c r="L148" s="106">
        <v>40000</v>
      </c>
      <c r="M148" s="48">
        <f>+IF(E148="",0,VLOOKUP(E148,[1]Code!J:K,2,0))</f>
        <v>8</v>
      </c>
      <c r="N148" s="49">
        <f t="shared" si="40"/>
        <v>0.125</v>
      </c>
      <c r="O148" s="50">
        <f t="shared" si="41"/>
        <v>0</v>
      </c>
      <c r="P148" s="50">
        <f t="shared" si="42"/>
        <v>0</v>
      </c>
      <c r="Q148" s="50">
        <f t="shared" si="43"/>
        <v>0</v>
      </c>
      <c r="R148" s="50">
        <f t="shared" si="44"/>
        <v>0</v>
      </c>
      <c r="S148" s="50">
        <f t="shared" si="45"/>
        <v>0</v>
      </c>
      <c r="T148" s="50">
        <f t="shared" si="46"/>
        <v>0</v>
      </c>
      <c r="U148" s="50">
        <f t="shared" si="47"/>
        <v>0</v>
      </c>
      <c r="V148" s="50">
        <f t="shared" si="48"/>
        <v>0</v>
      </c>
      <c r="W148" s="50">
        <f t="shared" si="49"/>
        <v>0</v>
      </c>
      <c r="X148" s="50">
        <f t="shared" si="50"/>
        <v>0</v>
      </c>
      <c r="Y148" s="50">
        <f t="shared" si="51"/>
        <v>40000</v>
      </c>
      <c r="Z148" s="50">
        <f t="shared" si="52"/>
        <v>5000</v>
      </c>
      <c r="AA148" s="50">
        <f t="shared" si="53"/>
        <v>35000</v>
      </c>
      <c r="AB148" s="50">
        <f t="shared" si="54"/>
        <v>5000</v>
      </c>
      <c r="AC148" s="50">
        <f t="shared" si="55"/>
        <v>30000</v>
      </c>
      <c r="AD148" s="50">
        <f t="shared" si="56"/>
        <v>5000</v>
      </c>
      <c r="AE148" s="50">
        <f t="shared" si="57"/>
        <v>25000</v>
      </c>
      <c r="AF148" s="50">
        <f t="shared" si="58"/>
        <v>5000</v>
      </c>
      <c r="AG148" s="51" t="str">
        <f t="shared" si="59"/>
        <v xml:space="preserve">5 MACHINERY,UTILITIESALL </v>
      </c>
      <c r="AH148" s="41"/>
      <c r="AI148" s="51" t="s">
        <v>487</v>
      </c>
      <c r="AJ148" s="51" t="s">
        <v>488</v>
      </c>
    </row>
    <row r="149" spans="1:36" ht="15.95" customHeight="1">
      <c r="A149" s="101" t="s">
        <v>489</v>
      </c>
      <c r="B149" s="102" t="s">
        <v>200</v>
      </c>
      <c r="C149" s="102" t="s">
        <v>490</v>
      </c>
      <c r="D149" s="74" t="s">
        <v>491</v>
      </c>
      <c r="E149" s="104" t="s">
        <v>103</v>
      </c>
      <c r="F149" s="101" t="s">
        <v>72</v>
      </c>
      <c r="G149" s="101" t="s">
        <v>486</v>
      </c>
      <c r="H149" s="101">
        <v>2026</v>
      </c>
      <c r="I149" s="105">
        <v>46336</v>
      </c>
      <c r="J149" s="105"/>
      <c r="K149" s="104">
        <v>1</v>
      </c>
      <c r="L149" s="106">
        <v>20000</v>
      </c>
      <c r="M149" s="48">
        <f>+IF(E149="",0,VLOOKUP(E149,[1]Code!J:K,2,0))</f>
        <v>5</v>
      </c>
      <c r="N149" s="49">
        <f t="shared" si="40"/>
        <v>0.2</v>
      </c>
      <c r="O149" s="50">
        <f t="shared" si="41"/>
        <v>0</v>
      </c>
      <c r="P149" s="50">
        <f t="shared" si="42"/>
        <v>0</v>
      </c>
      <c r="Q149" s="50">
        <f t="shared" si="43"/>
        <v>0</v>
      </c>
      <c r="R149" s="50">
        <f t="shared" si="44"/>
        <v>0</v>
      </c>
      <c r="S149" s="50">
        <f t="shared" si="45"/>
        <v>0</v>
      </c>
      <c r="T149" s="50">
        <f t="shared" si="46"/>
        <v>0</v>
      </c>
      <c r="U149" s="50">
        <f t="shared" si="47"/>
        <v>0</v>
      </c>
      <c r="V149" s="50">
        <f t="shared" si="48"/>
        <v>0</v>
      </c>
      <c r="W149" s="50">
        <f t="shared" si="49"/>
        <v>0</v>
      </c>
      <c r="X149" s="50">
        <f t="shared" si="50"/>
        <v>0</v>
      </c>
      <c r="Y149" s="50">
        <f t="shared" si="51"/>
        <v>20000</v>
      </c>
      <c r="Z149" s="50">
        <f t="shared" si="52"/>
        <v>4000</v>
      </c>
      <c r="AA149" s="50">
        <f t="shared" si="53"/>
        <v>16000</v>
      </c>
      <c r="AB149" s="50">
        <f t="shared" si="54"/>
        <v>4000</v>
      </c>
      <c r="AC149" s="50">
        <f t="shared" si="55"/>
        <v>12000</v>
      </c>
      <c r="AD149" s="50">
        <f t="shared" si="56"/>
        <v>4000</v>
      </c>
      <c r="AE149" s="50">
        <f t="shared" si="57"/>
        <v>8000</v>
      </c>
      <c r="AF149" s="50">
        <f t="shared" si="58"/>
        <v>4000</v>
      </c>
      <c r="AG149" s="51" t="str">
        <f t="shared" si="59"/>
        <v xml:space="preserve">9 TOOLSALL </v>
      </c>
      <c r="AH149" s="41"/>
      <c r="AI149" s="51" t="s">
        <v>487</v>
      </c>
      <c r="AJ149" s="51" t="s">
        <v>488</v>
      </c>
    </row>
    <row r="150" spans="1:36" ht="15.95" customHeight="1">
      <c r="A150" s="101" t="s">
        <v>492</v>
      </c>
      <c r="B150" s="102" t="s">
        <v>200</v>
      </c>
      <c r="C150" s="102" t="s">
        <v>490</v>
      </c>
      <c r="D150" s="103" t="s">
        <v>493</v>
      </c>
      <c r="E150" s="104" t="s">
        <v>353</v>
      </c>
      <c r="F150" s="101" t="s">
        <v>72</v>
      </c>
      <c r="G150" s="101" t="s">
        <v>486</v>
      </c>
      <c r="H150" s="101">
        <v>2026</v>
      </c>
      <c r="I150" s="105">
        <v>46336</v>
      </c>
      <c r="J150" s="105"/>
      <c r="K150" s="104">
        <v>1</v>
      </c>
      <c r="L150" s="106">
        <v>5000</v>
      </c>
      <c r="M150" s="48">
        <f>+IF(E150="",0,VLOOKUP(E150,[1]Code!J:K,2,0))</f>
        <v>5</v>
      </c>
      <c r="N150" s="49">
        <f t="shared" si="40"/>
        <v>0.2</v>
      </c>
      <c r="O150" s="50">
        <f t="shared" si="41"/>
        <v>0</v>
      </c>
      <c r="P150" s="50">
        <f t="shared" si="42"/>
        <v>0</v>
      </c>
      <c r="Q150" s="50">
        <f t="shared" si="43"/>
        <v>0</v>
      </c>
      <c r="R150" s="50">
        <f t="shared" si="44"/>
        <v>0</v>
      </c>
      <c r="S150" s="50">
        <f t="shared" si="45"/>
        <v>0</v>
      </c>
      <c r="T150" s="50">
        <f t="shared" si="46"/>
        <v>0</v>
      </c>
      <c r="U150" s="50">
        <f t="shared" si="47"/>
        <v>0</v>
      </c>
      <c r="V150" s="50">
        <f t="shared" si="48"/>
        <v>0</v>
      </c>
      <c r="W150" s="50">
        <f t="shared" si="49"/>
        <v>0</v>
      </c>
      <c r="X150" s="50">
        <f t="shared" si="50"/>
        <v>0</v>
      </c>
      <c r="Y150" s="50">
        <f t="shared" si="51"/>
        <v>5000</v>
      </c>
      <c r="Z150" s="50">
        <f t="shared" si="52"/>
        <v>1000</v>
      </c>
      <c r="AA150" s="50">
        <f t="shared" si="53"/>
        <v>4000</v>
      </c>
      <c r="AB150" s="50">
        <f t="shared" si="54"/>
        <v>1000</v>
      </c>
      <c r="AC150" s="50">
        <f t="shared" si="55"/>
        <v>3000</v>
      </c>
      <c r="AD150" s="50">
        <f t="shared" si="56"/>
        <v>1000</v>
      </c>
      <c r="AE150" s="50">
        <f t="shared" si="57"/>
        <v>2000</v>
      </c>
      <c r="AF150" s="50">
        <f t="shared" si="58"/>
        <v>1000</v>
      </c>
      <c r="AG150" s="51" t="str">
        <f t="shared" si="59"/>
        <v xml:space="preserve">9 DIESALL </v>
      </c>
      <c r="AH150" s="41"/>
      <c r="AI150" s="51" t="s">
        <v>487</v>
      </c>
      <c r="AJ150" s="51" t="s">
        <v>488</v>
      </c>
    </row>
    <row r="151" spans="1:36" ht="15.95" customHeight="1">
      <c r="A151" s="101" t="s">
        <v>494</v>
      </c>
      <c r="B151" s="102" t="s">
        <v>200</v>
      </c>
      <c r="C151" s="102" t="s">
        <v>490</v>
      </c>
      <c r="D151" s="74" t="s">
        <v>495</v>
      </c>
      <c r="E151" s="104" t="s">
        <v>103</v>
      </c>
      <c r="F151" s="101" t="s">
        <v>72</v>
      </c>
      <c r="G151" s="101" t="s">
        <v>486</v>
      </c>
      <c r="H151" s="101">
        <v>2026</v>
      </c>
      <c r="I151" s="105">
        <v>46336</v>
      </c>
      <c r="J151" s="105"/>
      <c r="K151" s="104">
        <v>1</v>
      </c>
      <c r="L151" s="107">
        <v>10000</v>
      </c>
      <c r="M151" s="48">
        <f>+IF(E151="",0,VLOOKUP(E151,[1]Code!J:K,2,0))</f>
        <v>5</v>
      </c>
      <c r="N151" s="49">
        <f t="shared" si="40"/>
        <v>0.2</v>
      </c>
      <c r="O151" s="50">
        <f t="shared" si="41"/>
        <v>0</v>
      </c>
      <c r="P151" s="50">
        <f t="shared" si="42"/>
        <v>0</v>
      </c>
      <c r="Q151" s="50">
        <f t="shared" si="43"/>
        <v>0</v>
      </c>
      <c r="R151" s="50">
        <f t="shared" si="44"/>
        <v>0</v>
      </c>
      <c r="S151" s="50">
        <f t="shared" si="45"/>
        <v>0</v>
      </c>
      <c r="T151" s="50">
        <f t="shared" si="46"/>
        <v>0</v>
      </c>
      <c r="U151" s="50">
        <f t="shared" si="47"/>
        <v>0</v>
      </c>
      <c r="V151" s="50">
        <f t="shared" si="48"/>
        <v>0</v>
      </c>
      <c r="W151" s="50">
        <f t="shared" si="49"/>
        <v>0</v>
      </c>
      <c r="X151" s="50">
        <f t="shared" si="50"/>
        <v>0</v>
      </c>
      <c r="Y151" s="50">
        <f t="shared" si="51"/>
        <v>10000</v>
      </c>
      <c r="Z151" s="50">
        <f t="shared" si="52"/>
        <v>2000</v>
      </c>
      <c r="AA151" s="50">
        <f t="shared" si="53"/>
        <v>8000</v>
      </c>
      <c r="AB151" s="50">
        <f t="shared" si="54"/>
        <v>2000</v>
      </c>
      <c r="AC151" s="50">
        <f t="shared" si="55"/>
        <v>6000</v>
      </c>
      <c r="AD151" s="50">
        <f t="shared" si="56"/>
        <v>2000</v>
      </c>
      <c r="AE151" s="50">
        <f t="shared" si="57"/>
        <v>4000</v>
      </c>
      <c r="AF151" s="50">
        <f t="shared" si="58"/>
        <v>2000</v>
      </c>
      <c r="AG151" s="51" t="str">
        <f t="shared" si="59"/>
        <v xml:space="preserve">9 TOOLSALL </v>
      </c>
      <c r="AH151" s="41"/>
      <c r="AI151" s="51" t="s">
        <v>487</v>
      </c>
      <c r="AJ151" s="51" t="s">
        <v>488</v>
      </c>
    </row>
    <row r="152" spans="1:36" ht="15.95" customHeight="1">
      <c r="A152" s="101" t="s">
        <v>496</v>
      </c>
      <c r="B152" s="102" t="s">
        <v>217</v>
      </c>
      <c r="C152" s="102" t="s">
        <v>497</v>
      </c>
      <c r="D152" s="103" t="s">
        <v>497</v>
      </c>
      <c r="E152" s="104" t="s">
        <v>119</v>
      </c>
      <c r="F152" s="101" t="s">
        <v>72</v>
      </c>
      <c r="G152" s="101" t="s">
        <v>486</v>
      </c>
      <c r="H152" s="101">
        <v>2026</v>
      </c>
      <c r="I152" s="105">
        <v>46371</v>
      </c>
      <c r="J152" s="105"/>
      <c r="K152" s="104">
        <v>2</v>
      </c>
      <c r="L152" s="106">
        <v>15000</v>
      </c>
      <c r="M152" s="48">
        <f>+IF(E152="",0,VLOOKUP(E152,[1]Code!J:K,2,0))</f>
        <v>8</v>
      </c>
      <c r="N152" s="49">
        <f t="shared" si="40"/>
        <v>0.125</v>
      </c>
      <c r="O152" s="50">
        <f t="shared" si="41"/>
        <v>0</v>
      </c>
      <c r="P152" s="50">
        <f t="shared" si="42"/>
        <v>0</v>
      </c>
      <c r="Q152" s="50">
        <f t="shared" si="43"/>
        <v>0</v>
      </c>
      <c r="R152" s="50">
        <f t="shared" si="44"/>
        <v>0</v>
      </c>
      <c r="S152" s="50">
        <f t="shared" si="45"/>
        <v>0</v>
      </c>
      <c r="T152" s="50">
        <f t="shared" si="46"/>
        <v>0</v>
      </c>
      <c r="U152" s="50">
        <f t="shared" si="47"/>
        <v>0</v>
      </c>
      <c r="V152" s="50">
        <f t="shared" si="48"/>
        <v>0</v>
      </c>
      <c r="W152" s="50">
        <f t="shared" si="49"/>
        <v>0</v>
      </c>
      <c r="X152" s="50">
        <f t="shared" si="50"/>
        <v>0</v>
      </c>
      <c r="Y152" s="50">
        <f t="shared" si="51"/>
        <v>15000</v>
      </c>
      <c r="Z152" s="50">
        <f t="shared" si="52"/>
        <v>1875</v>
      </c>
      <c r="AA152" s="50">
        <f t="shared" si="53"/>
        <v>13125</v>
      </c>
      <c r="AB152" s="50">
        <f t="shared" si="54"/>
        <v>1875</v>
      </c>
      <c r="AC152" s="50">
        <f t="shared" si="55"/>
        <v>11250</v>
      </c>
      <c r="AD152" s="50">
        <f t="shared" si="56"/>
        <v>1875</v>
      </c>
      <c r="AE152" s="50">
        <f t="shared" si="57"/>
        <v>9375</v>
      </c>
      <c r="AF152" s="50">
        <f t="shared" si="58"/>
        <v>1875</v>
      </c>
      <c r="AG152" s="51" t="str">
        <f t="shared" si="59"/>
        <v xml:space="preserve">5 MACHINERY,UTILITIESALL </v>
      </c>
      <c r="AH152" s="41"/>
      <c r="AI152" s="51" t="s">
        <v>487</v>
      </c>
      <c r="AJ152" s="51" t="s">
        <v>488</v>
      </c>
    </row>
    <row r="153" spans="1:36" ht="15.95" customHeight="1">
      <c r="A153" s="101" t="s">
        <v>498</v>
      </c>
      <c r="B153" s="102" t="s">
        <v>281</v>
      </c>
      <c r="C153" s="102" t="s">
        <v>499</v>
      </c>
      <c r="D153" s="103" t="s">
        <v>500</v>
      </c>
      <c r="E153" s="104" t="s">
        <v>119</v>
      </c>
      <c r="F153" s="101" t="s">
        <v>72</v>
      </c>
      <c r="G153" s="101" t="s">
        <v>486</v>
      </c>
      <c r="H153" s="101">
        <v>2026</v>
      </c>
      <c r="I153" s="105">
        <v>46461</v>
      </c>
      <c r="J153" s="105"/>
      <c r="K153" s="104">
        <v>1</v>
      </c>
      <c r="L153" s="106">
        <v>10000</v>
      </c>
      <c r="M153" s="48">
        <f>+IF(E153="",0,VLOOKUP(E153,[1]Code!J:K,2,0))</f>
        <v>8</v>
      </c>
      <c r="N153" s="49">
        <f t="shared" si="40"/>
        <v>0.125</v>
      </c>
      <c r="O153" s="50">
        <f t="shared" si="41"/>
        <v>0</v>
      </c>
      <c r="P153" s="50">
        <f t="shared" si="42"/>
        <v>0</v>
      </c>
      <c r="Q153" s="50">
        <f t="shared" si="43"/>
        <v>0</v>
      </c>
      <c r="R153" s="50">
        <f t="shared" si="44"/>
        <v>0</v>
      </c>
      <c r="S153" s="50">
        <f t="shared" si="45"/>
        <v>0</v>
      </c>
      <c r="T153" s="50">
        <f t="shared" si="46"/>
        <v>0</v>
      </c>
      <c r="U153" s="50">
        <f t="shared" si="47"/>
        <v>0</v>
      </c>
      <c r="V153" s="50">
        <f t="shared" si="48"/>
        <v>0</v>
      </c>
      <c r="W153" s="50">
        <f t="shared" si="49"/>
        <v>0</v>
      </c>
      <c r="X153" s="50">
        <f t="shared" si="50"/>
        <v>0</v>
      </c>
      <c r="Y153" s="50">
        <f t="shared" si="51"/>
        <v>10000</v>
      </c>
      <c r="Z153" s="50">
        <f t="shared" si="52"/>
        <v>1250</v>
      </c>
      <c r="AA153" s="50">
        <f t="shared" si="53"/>
        <v>8750</v>
      </c>
      <c r="AB153" s="50">
        <f t="shared" si="54"/>
        <v>1250</v>
      </c>
      <c r="AC153" s="50">
        <f t="shared" si="55"/>
        <v>7500</v>
      </c>
      <c r="AD153" s="50">
        <f t="shared" si="56"/>
        <v>1250</v>
      </c>
      <c r="AE153" s="50">
        <f t="shared" si="57"/>
        <v>6250</v>
      </c>
      <c r="AF153" s="50">
        <f t="shared" si="58"/>
        <v>1250</v>
      </c>
      <c r="AG153" s="51" t="str">
        <f t="shared" si="59"/>
        <v xml:space="preserve">5 MACHINERY,UTILITIESALL </v>
      </c>
      <c r="AH153" s="41"/>
      <c r="AI153" s="51" t="s">
        <v>487</v>
      </c>
      <c r="AJ153" s="51" t="s">
        <v>488</v>
      </c>
    </row>
    <row r="154" spans="1:36" ht="15.95" customHeight="1">
      <c r="A154" s="101" t="s">
        <v>501</v>
      </c>
      <c r="B154" s="102" t="s">
        <v>293</v>
      </c>
      <c r="C154" s="102" t="s">
        <v>502</v>
      </c>
      <c r="D154" s="103" t="s">
        <v>503</v>
      </c>
      <c r="E154" s="104" t="s">
        <v>119</v>
      </c>
      <c r="F154" s="101" t="s">
        <v>72</v>
      </c>
      <c r="G154" s="101" t="s">
        <v>486</v>
      </c>
      <c r="H154" s="101">
        <v>2026</v>
      </c>
      <c r="I154" s="105">
        <v>46400</v>
      </c>
      <c r="J154" s="105"/>
      <c r="K154" s="104">
        <v>3</v>
      </c>
      <c r="L154" s="106">
        <v>15000</v>
      </c>
      <c r="M154" s="48">
        <f>+IF(E154="",0,VLOOKUP(E154,[1]Code!J:K,2,0))</f>
        <v>8</v>
      </c>
      <c r="N154" s="49">
        <f t="shared" si="40"/>
        <v>0.125</v>
      </c>
      <c r="O154" s="50">
        <f t="shared" si="41"/>
        <v>0</v>
      </c>
      <c r="P154" s="50">
        <f t="shared" si="42"/>
        <v>0</v>
      </c>
      <c r="Q154" s="50">
        <f t="shared" si="43"/>
        <v>0</v>
      </c>
      <c r="R154" s="50">
        <f t="shared" si="44"/>
        <v>0</v>
      </c>
      <c r="S154" s="50">
        <f t="shared" si="45"/>
        <v>0</v>
      </c>
      <c r="T154" s="50">
        <f t="shared" si="46"/>
        <v>0</v>
      </c>
      <c r="U154" s="50">
        <f t="shared" si="47"/>
        <v>0</v>
      </c>
      <c r="V154" s="50">
        <f t="shared" si="48"/>
        <v>0</v>
      </c>
      <c r="W154" s="50">
        <f t="shared" si="49"/>
        <v>0</v>
      </c>
      <c r="X154" s="50">
        <f t="shared" si="50"/>
        <v>0</v>
      </c>
      <c r="Y154" s="50">
        <f t="shared" si="51"/>
        <v>15000</v>
      </c>
      <c r="Z154" s="50">
        <f t="shared" si="52"/>
        <v>1875</v>
      </c>
      <c r="AA154" s="50">
        <f t="shared" si="53"/>
        <v>13125</v>
      </c>
      <c r="AB154" s="50">
        <f t="shared" si="54"/>
        <v>1875</v>
      </c>
      <c r="AC154" s="50">
        <f t="shared" si="55"/>
        <v>11250</v>
      </c>
      <c r="AD154" s="50">
        <f t="shared" si="56"/>
        <v>1875</v>
      </c>
      <c r="AE154" s="50">
        <f t="shared" si="57"/>
        <v>9375</v>
      </c>
      <c r="AF154" s="50">
        <f t="shared" si="58"/>
        <v>1875</v>
      </c>
      <c r="AG154" s="51" t="str">
        <f t="shared" si="59"/>
        <v xml:space="preserve">5 MACHINERY,UTILITIESALL </v>
      </c>
      <c r="AH154" s="41"/>
      <c r="AI154" s="51" t="s">
        <v>487</v>
      </c>
      <c r="AJ154" s="51" t="s">
        <v>488</v>
      </c>
    </row>
    <row r="155" spans="1:36" ht="15.95" customHeight="1">
      <c r="A155" s="101" t="s">
        <v>504</v>
      </c>
      <c r="B155" s="102" t="s">
        <v>277</v>
      </c>
      <c r="C155" s="102" t="s">
        <v>505</v>
      </c>
      <c r="D155" s="74" t="s">
        <v>506</v>
      </c>
      <c r="E155" s="104" t="s">
        <v>119</v>
      </c>
      <c r="F155" s="101" t="s">
        <v>72</v>
      </c>
      <c r="G155" s="101" t="s">
        <v>486</v>
      </c>
      <c r="H155" s="101">
        <v>2026</v>
      </c>
      <c r="I155" s="105">
        <v>46433</v>
      </c>
      <c r="J155" s="105"/>
      <c r="K155" s="104">
        <v>1</v>
      </c>
      <c r="L155" s="106">
        <v>10000</v>
      </c>
      <c r="M155" s="48">
        <f>+IF(E155="",0,VLOOKUP(E155,[1]Code!J:K,2,0))</f>
        <v>8</v>
      </c>
      <c r="N155" s="49">
        <f t="shared" si="40"/>
        <v>0.125</v>
      </c>
      <c r="O155" s="50">
        <f t="shared" si="41"/>
        <v>0</v>
      </c>
      <c r="P155" s="50">
        <f t="shared" si="42"/>
        <v>0</v>
      </c>
      <c r="Q155" s="50">
        <f t="shared" si="43"/>
        <v>0</v>
      </c>
      <c r="R155" s="50">
        <f t="shared" si="44"/>
        <v>0</v>
      </c>
      <c r="S155" s="50">
        <f t="shared" si="45"/>
        <v>0</v>
      </c>
      <c r="T155" s="50">
        <f t="shared" si="46"/>
        <v>0</v>
      </c>
      <c r="U155" s="50">
        <f t="shared" si="47"/>
        <v>0</v>
      </c>
      <c r="V155" s="50">
        <f t="shared" si="48"/>
        <v>0</v>
      </c>
      <c r="W155" s="50">
        <f t="shared" si="49"/>
        <v>0</v>
      </c>
      <c r="X155" s="50">
        <f t="shared" si="50"/>
        <v>0</v>
      </c>
      <c r="Y155" s="50">
        <f t="shared" si="51"/>
        <v>10000</v>
      </c>
      <c r="Z155" s="50">
        <f t="shared" si="52"/>
        <v>1250</v>
      </c>
      <c r="AA155" s="50">
        <f t="shared" si="53"/>
        <v>8750</v>
      </c>
      <c r="AB155" s="50">
        <f t="shared" si="54"/>
        <v>1250</v>
      </c>
      <c r="AC155" s="50">
        <f t="shared" si="55"/>
        <v>7500</v>
      </c>
      <c r="AD155" s="50">
        <f t="shared" si="56"/>
        <v>1250</v>
      </c>
      <c r="AE155" s="50">
        <f t="shared" si="57"/>
        <v>6250</v>
      </c>
      <c r="AF155" s="50">
        <f t="shared" si="58"/>
        <v>1250</v>
      </c>
      <c r="AG155" s="51" t="str">
        <f t="shared" si="59"/>
        <v xml:space="preserve">5 MACHINERY,UTILITIESALL </v>
      </c>
      <c r="AH155" s="41"/>
      <c r="AI155" s="51" t="s">
        <v>487</v>
      </c>
      <c r="AJ155" s="51" t="s">
        <v>488</v>
      </c>
    </row>
    <row r="156" spans="1:36" ht="15.95" customHeight="1">
      <c r="A156" s="101" t="s">
        <v>507</v>
      </c>
      <c r="B156" s="102" t="s">
        <v>293</v>
      </c>
      <c r="C156" s="102" t="s">
        <v>508</v>
      </c>
      <c r="D156" s="74" t="s">
        <v>509</v>
      </c>
      <c r="E156" s="104" t="s">
        <v>119</v>
      </c>
      <c r="F156" s="101" t="s">
        <v>72</v>
      </c>
      <c r="G156" s="101" t="s">
        <v>486</v>
      </c>
      <c r="H156" s="101">
        <v>2026</v>
      </c>
      <c r="I156" s="105">
        <v>46400</v>
      </c>
      <c r="J156" s="105"/>
      <c r="K156" s="104">
        <v>1</v>
      </c>
      <c r="L156" s="106">
        <v>8000</v>
      </c>
      <c r="M156" s="48">
        <f>+IF(E156="",0,VLOOKUP(E156,[1]Code!J:K,2,0))</f>
        <v>8</v>
      </c>
      <c r="N156" s="49">
        <f t="shared" si="40"/>
        <v>0.125</v>
      </c>
      <c r="O156" s="50">
        <f t="shared" si="41"/>
        <v>0</v>
      </c>
      <c r="P156" s="50">
        <f t="shared" si="42"/>
        <v>0</v>
      </c>
      <c r="Q156" s="50">
        <f t="shared" si="43"/>
        <v>0</v>
      </c>
      <c r="R156" s="50">
        <f t="shared" si="44"/>
        <v>0</v>
      </c>
      <c r="S156" s="50">
        <f t="shared" si="45"/>
        <v>0</v>
      </c>
      <c r="T156" s="50">
        <f t="shared" si="46"/>
        <v>0</v>
      </c>
      <c r="U156" s="50">
        <f t="shared" si="47"/>
        <v>0</v>
      </c>
      <c r="V156" s="50">
        <f t="shared" si="48"/>
        <v>0</v>
      </c>
      <c r="W156" s="50">
        <f t="shared" si="49"/>
        <v>0</v>
      </c>
      <c r="X156" s="50">
        <f t="shared" si="50"/>
        <v>0</v>
      </c>
      <c r="Y156" s="50">
        <f t="shared" si="51"/>
        <v>8000</v>
      </c>
      <c r="Z156" s="50">
        <f t="shared" si="52"/>
        <v>1000</v>
      </c>
      <c r="AA156" s="50">
        <f t="shared" si="53"/>
        <v>7000</v>
      </c>
      <c r="AB156" s="50">
        <f t="shared" si="54"/>
        <v>1000</v>
      </c>
      <c r="AC156" s="50">
        <f t="shared" si="55"/>
        <v>6000</v>
      </c>
      <c r="AD156" s="50">
        <f t="shared" si="56"/>
        <v>1000</v>
      </c>
      <c r="AE156" s="50">
        <f t="shared" si="57"/>
        <v>5000</v>
      </c>
      <c r="AF156" s="50">
        <f t="shared" si="58"/>
        <v>1000</v>
      </c>
      <c r="AG156" s="51" t="str">
        <f t="shared" si="59"/>
        <v xml:space="preserve">5 MACHINERY,UTILITIESALL </v>
      </c>
      <c r="AH156" s="41"/>
      <c r="AI156" s="51" t="s">
        <v>487</v>
      </c>
      <c r="AJ156" s="51" t="s">
        <v>488</v>
      </c>
    </row>
    <row r="157" spans="1:36" ht="15.95" customHeight="1">
      <c r="A157" s="101" t="s">
        <v>510</v>
      </c>
      <c r="B157" s="102" t="s">
        <v>277</v>
      </c>
      <c r="C157" s="108" t="s">
        <v>511</v>
      </c>
      <c r="D157" s="74" t="s">
        <v>512</v>
      </c>
      <c r="E157" s="104" t="s">
        <v>119</v>
      </c>
      <c r="F157" s="101" t="s">
        <v>72</v>
      </c>
      <c r="G157" s="101" t="s">
        <v>486</v>
      </c>
      <c r="H157" s="101">
        <v>2026</v>
      </c>
      <c r="I157" s="105">
        <v>46461</v>
      </c>
      <c r="J157" s="105"/>
      <c r="K157" s="104">
        <v>1</v>
      </c>
      <c r="L157" s="106">
        <v>7000</v>
      </c>
      <c r="M157" s="48">
        <f>+IF(E157="",0,VLOOKUP(E157,[1]Code!J:K,2,0))</f>
        <v>8</v>
      </c>
      <c r="N157" s="49">
        <f t="shared" si="40"/>
        <v>0.125</v>
      </c>
      <c r="O157" s="50">
        <f t="shared" si="41"/>
        <v>0</v>
      </c>
      <c r="P157" s="50">
        <f t="shared" si="42"/>
        <v>0</v>
      </c>
      <c r="Q157" s="50">
        <f t="shared" si="43"/>
        <v>0</v>
      </c>
      <c r="R157" s="50">
        <f t="shared" si="44"/>
        <v>0</v>
      </c>
      <c r="S157" s="50">
        <f t="shared" si="45"/>
        <v>0</v>
      </c>
      <c r="T157" s="50">
        <f t="shared" si="46"/>
        <v>0</v>
      </c>
      <c r="U157" s="50">
        <f t="shared" si="47"/>
        <v>0</v>
      </c>
      <c r="V157" s="50">
        <f t="shared" si="48"/>
        <v>0</v>
      </c>
      <c r="W157" s="50">
        <f t="shared" si="49"/>
        <v>0</v>
      </c>
      <c r="X157" s="50">
        <f t="shared" si="50"/>
        <v>0</v>
      </c>
      <c r="Y157" s="50">
        <f t="shared" si="51"/>
        <v>7000</v>
      </c>
      <c r="Z157" s="50">
        <f t="shared" si="52"/>
        <v>875</v>
      </c>
      <c r="AA157" s="50">
        <f t="shared" si="53"/>
        <v>6125</v>
      </c>
      <c r="AB157" s="50">
        <f t="shared" si="54"/>
        <v>875</v>
      </c>
      <c r="AC157" s="50">
        <f t="shared" si="55"/>
        <v>5250</v>
      </c>
      <c r="AD157" s="50">
        <f t="shared" si="56"/>
        <v>875</v>
      </c>
      <c r="AE157" s="50">
        <f t="shared" si="57"/>
        <v>4375</v>
      </c>
      <c r="AF157" s="50">
        <f t="shared" si="58"/>
        <v>875</v>
      </c>
      <c r="AG157" s="51" t="str">
        <f t="shared" si="59"/>
        <v xml:space="preserve">5 MACHINERY,UTILITIESALL </v>
      </c>
      <c r="AH157" s="41"/>
      <c r="AI157" s="51" t="s">
        <v>487</v>
      </c>
      <c r="AJ157" s="51" t="s">
        <v>488</v>
      </c>
    </row>
    <row r="158" spans="1:36" ht="15.95" customHeight="1">
      <c r="A158" s="101" t="s">
        <v>513</v>
      </c>
      <c r="B158" s="102" t="s">
        <v>514</v>
      </c>
      <c r="C158" s="102" t="s">
        <v>515</v>
      </c>
      <c r="D158" s="74" t="s">
        <v>515</v>
      </c>
      <c r="E158" s="104" t="s">
        <v>119</v>
      </c>
      <c r="F158" s="101" t="s">
        <v>72</v>
      </c>
      <c r="G158" s="101" t="s">
        <v>486</v>
      </c>
      <c r="H158" s="101">
        <v>2026</v>
      </c>
      <c r="I158" s="105">
        <v>46429</v>
      </c>
      <c r="J158" s="105"/>
      <c r="K158" s="104">
        <v>12</v>
      </c>
      <c r="L158" s="106">
        <v>1000</v>
      </c>
      <c r="M158" s="48">
        <f>+IF(E158="",0,VLOOKUP(E158,[1]Code!J:K,2,0))</f>
        <v>8</v>
      </c>
      <c r="N158" s="49">
        <f t="shared" si="40"/>
        <v>0.125</v>
      </c>
      <c r="O158" s="50">
        <f t="shared" si="41"/>
        <v>0</v>
      </c>
      <c r="P158" s="50">
        <f t="shared" si="42"/>
        <v>0</v>
      </c>
      <c r="Q158" s="50">
        <f t="shared" si="43"/>
        <v>0</v>
      </c>
      <c r="R158" s="50">
        <f t="shared" si="44"/>
        <v>0</v>
      </c>
      <c r="S158" s="50">
        <f t="shared" si="45"/>
        <v>0</v>
      </c>
      <c r="T158" s="50">
        <f t="shared" si="46"/>
        <v>0</v>
      </c>
      <c r="U158" s="50">
        <f t="shared" si="47"/>
        <v>0</v>
      </c>
      <c r="V158" s="50">
        <f t="shared" si="48"/>
        <v>0</v>
      </c>
      <c r="W158" s="50">
        <f t="shared" si="49"/>
        <v>0</v>
      </c>
      <c r="X158" s="50">
        <f t="shared" si="50"/>
        <v>0</v>
      </c>
      <c r="Y158" s="50">
        <f t="shared" si="51"/>
        <v>1000</v>
      </c>
      <c r="Z158" s="50">
        <f t="shared" si="52"/>
        <v>125</v>
      </c>
      <c r="AA158" s="50">
        <f t="shared" si="53"/>
        <v>875</v>
      </c>
      <c r="AB158" s="50">
        <f t="shared" si="54"/>
        <v>125</v>
      </c>
      <c r="AC158" s="50">
        <f t="shared" si="55"/>
        <v>750</v>
      </c>
      <c r="AD158" s="50">
        <f t="shared" si="56"/>
        <v>125</v>
      </c>
      <c r="AE158" s="50">
        <f t="shared" si="57"/>
        <v>625</v>
      </c>
      <c r="AF158" s="50">
        <f t="shared" si="58"/>
        <v>125</v>
      </c>
      <c r="AG158" s="51" t="str">
        <f t="shared" si="59"/>
        <v xml:space="preserve">5 MACHINERY,UTILITIESALL </v>
      </c>
      <c r="AH158" s="41"/>
      <c r="AI158" s="51" t="s">
        <v>487</v>
      </c>
      <c r="AJ158" s="51" t="s">
        <v>488</v>
      </c>
    </row>
    <row r="159" spans="1:36" ht="15.95" customHeight="1">
      <c r="A159" s="101" t="s">
        <v>516</v>
      </c>
      <c r="B159" s="102" t="s">
        <v>514</v>
      </c>
      <c r="C159" s="102" t="s">
        <v>517</v>
      </c>
      <c r="D159" s="74" t="s">
        <v>517</v>
      </c>
      <c r="E159" s="104" t="s">
        <v>119</v>
      </c>
      <c r="F159" s="101" t="s">
        <v>72</v>
      </c>
      <c r="G159" s="101" t="s">
        <v>486</v>
      </c>
      <c r="H159" s="101">
        <v>2026</v>
      </c>
      <c r="I159" s="105">
        <v>46433</v>
      </c>
      <c r="J159" s="105"/>
      <c r="K159" s="104">
        <v>1</v>
      </c>
      <c r="L159" s="106">
        <v>1000</v>
      </c>
      <c r="M159" s="48">
        <f>+IF(E159="",0,VLOOKUP(E159,[1]Code!J:K,2,0))</f>
        <v>8</v>
      </c>
      <c r="N159" s="49">
        <f t="shared" si="40"/>
        <v>0.125</v>
      </c>
      <c r="O159" s="50">
        <f t="shared" si="41"/>
        <v>0</v>
      </c>
      <c r="P159" s="50">
        <f t="shared" si="42"/>
        <v>0</v>
      </c>
      <c r="Q159" s="50">
        <f t="shared" si="43"/>
        <v>0</v>
      </c>
      <c r="R159" s="50">
        <f t="shared" si="44"/>
        <v>0</v>
      </c>
      <c r="S159" s="50">
        <f t="shared" si="45"/>
        <v>0</v>
      </c>
      <c r="T159" s="50">
        <f t="shared" si="46"/>
        <v>0</v>
      </c>
      <c r="U159" s="50">
        <f t="shared" si="47"/>
        <v>0</v>
      </c>
      <c r="V159" s="50">
        <f t="shared" si="48"/>
        <v>0</v>
      </c>
      <c r="W159" s="50">
        <f t="shared" si="49"/>
        <v>0</v>
      </c>
      <c r="X159" s="50">
        <f t="shared" si="50"/>
        <v>0</v>
      </c>
      <c r="Y159" s="50">
        <f t="shared" si="51"/>
        <v>1000</v>
      </c>
      <c r="Z159" s="50">
        <f t="shared" si="52"/>
        <v>125</v>
      </c>
      <c r="AA159" s="50">
        <f t="shared" si="53"/>
        <v>875</v>
      </c>
      <c r="AB159" s="50">
        <f t="shared" si="54"/>
        <v>125</v>
      </c>
      <c r="AC159" s="50">
        <f t="shared" si="55"/>
        <v>750</v>
      </c>
      <c r="AD159" s="50">
        <f t="shared" si="56"/>
        <v>125</v>
      </c>
      <c r="AE159" s="50">
        <f t="shared" si="57"/>
        <v>625</v>
      </c>
      <c r="AF159" s="50">
        <f t="shared" si="58"/>
        <v>125</v>
      </c>
      <c r="AG159" s="51" t="str">
        <f t="shared" si="59"/>
        <v xml:space="preserve">5 MACHINERY,UTILITIESALL </v>
      </c>
      <c r="AH159" s="41"/>
      <c r="AI159" s="51" t="s">
        <v>487</v>
      </c>
      <c r="AJ159" s="51" t="s">
        <v>488</v>
      </c>
    </row>
    <row r="160" spans="1:36" ht="15.95" customHeight="1">
      <c r="A160" s="101" t="s">
        <v>518</v>
      </c>
      <c r="B160" s="102" t="s">
        <v>277</v>
      </c>
      <c r="C160" s="102" t="s">
        <v>519</v>
      </c>
      <c r="D160" s="74" t="s">
        <v>519</v>
      </c>
      <c r="E160" s="104" t="s">
        <v>119</v>
      </c>
      <c r="F160" s="101" t="s">
        <v>72</v>
      </c>
      <c r="G160" s="101" t="s">
        <v>486</v>
      </c>
      <c r="H160" s="101">
        <v>2026</v>
      </c>
      <c r="I160" s="105">
        <v>46310</v>
      </c>
      <c r="J160" s="105"/>
      <c r="K160" s="104">
        <v>1</v>
      </c>
      <c r="L160" s="106">
        <v>500</v>
      </c>
      <c r="M160" s="48">
        <f>+IF(E160="",0,VLOOKUP(E160,[1]Code!J:K,2,0))</f>
        <v>8</v>
      </c>
      <c r="N160" s="49">
        <f t="shared" si="40"/>
        <v>0.125</v>
      </c>
      <c r="O160" s="50">
        <f t="shared" si="41"/>
        <v>0</v>
      </c>
      <c r="P160" s="50">
        <f t="shared" si="42"/>
        <v>0</v>
      </c>
      <c r="Q160" s="50">
        <f t="shared" si="43"/>
        <v>0</v>
      </c>
      <c r="R160" s="50">
        <f t="shared" si="44"/>
        <v>0</v>
      </c>
      <c r="S160" s="50">
        <f t="shared" si="45"/>
        <v>0</v>
      </c>
      <c r="T160" s="50">
        <f t="shared" si="46"/>
        <v>0</v>
      </c>
      <c r="U160" s="50">
        <f t="shared" si="47"/>
        <v>0</v>
      </c>
      <c r="V160" s="50">
        <f t="shared" si="48"/>
        <v>0</v>
      </c>
      <c r="W160" s="50">
        <f t="shared" si="49"/>
        <v>0</v>
      </c>
      <c r="X160" s="50">
        <f t="shared" si="50"/>
        <v>0</v>
      </c>
      <c r="Y160" s="50">
        <f t="shared" si="51"/>
        <v>500</v>
      </c>
      <c r="Z160" s="50">
        <f t="shared" si="52"/>
        <v>62.5</v>
      </c>
      <c r="AA160" s="50">
        <f t="shared" si="53"/>
        <v>437.5</v>
      </c>
      <c r="AB160" s="50">
        <f t="shared" si="54"/>
        <v>62.5</v>
      </c>
      <c r="AC160" s="50">
        <f t="shared" si="55"/>
        <v>375</v>
      </c>
      <c r="AD160" s="50">
        <f t="shared" si="56"/>
        <v>62.5</v>
      </c>
      <c r="AE160" s="50">
        <f t="shared" si="57"/>
        <v>312.5</v>
      </c>
      <c r="AF160" s="50">
        <f t="shared" si="58"/>
        <v>62.5</v>
      </c>
      <c r="AG160" s="51" t="str">
        <f t="shared" si="59"/>
        <v xml:space="preserve">5 MACHINERY,UTILITIESALL </v>
      </c>
      <c r="AH160" s="41"/>
      <c r="AI160" s="51" t="s">
        <v>487</v>
      </c>
      <c r="AJ160" s="51" t="s">
        <v>488</v>
      </c>
    </row>
    <row r="161" spans="1:36" ht="15.95" customHeight="1">
      <c r="A161" s="101" t="s">
        <v>520</v>
      </c>
      <c r="B161" s="102" t="s">
        <v>277</v>
      </c>
      <c r="C161" s="102" t="s">
        <v>521</v>
      </c>
      <c r="D161" s="74" t="s">
        <v>522</v>
      </c>
      <c r="E161" s="104" t="s">
        <v>119</v>
      </c>
      <c r="F161" s="101" t="s">
        <v>72</v>
      </c>
      <c r="G161" s="101" t="s">
        <v>486</v>
      </c>
      <c r="H161" s="101">
        <v>2026</v>
      </c>
      <c r="I161" s="105">
        <v>46614</v>
      </c>
      <c r="J161" s="105"/>
      <c r="K161" s="109">
        <v>1</v>
      </c>
      <c r="L161" s="106">
        <v>10000</v>
      </c>
      <c r="M161" s="48">
        <f>+IF(E161="",0,VLOOKUP(E161,[1]Code!J:K,2,0))</f>
        <v>8</v>
      </c>
      <c r="N161" s="49">
        <f t="shared" si="40"/>
        <v>0.125</v>
      </c>
      <c r="O161" s="50">
        <f t="shared" si="41"/>
        <v>0</v>
      </c>
      <c r="P161" s="50">
        <f t="shared" si="42"/>
        <v>0</v>
      </c>
      <c r="Q161" s="50">
        <f t="shared" si="43"/>
        <v>0</v>
      </c>
      <c r="R161" s="50">
        <f t="shared" si="44"/>
        <v>0</v>
      </c>
      <c r="S161" s="50">
        <f t="shared" si="45"/>
        <v>0</v>
      </c>
      <c r="T161" s="50">
        <f t="shared" si="46"/>
        <v>0</v>
      </c>
      <c r="U161" s="50">
        <f t="shared" si="47"/>
        <v>0</v>
      </c>
      <c r="V161" s="50">
        <f t="shared" si="48"/>
        <v>0</v>
      </c>
      <c r="W161" s="50">
        <f t="shared" si="49"/>
        <v>0</v>
      </c>
      <c r="X161" s="50">
        <f t="shared" si="50"/>
        <v>0</v>
      </c>
      <c r="Y161" s="50">
        <f t="shared" si="51"/>
        <v>10000</v>
      </c>
      <c r="Z161" s="50">
        <f t="shared" si="52"/>
        <v>1250</v>
      </c>
      <c r="AA161" s="50">
        <f t="shared" si="53"/>
        <v>8750</v>
      </c>
      <c r="AB161" s="50">
        <f t="shared" si="54"/>
        <v>1250</v>
      </c>
      <c r="AC161" s="50">
        <f t="shared" si="55"/>
        <v>7500</v>
      </c>
      <c r="AD161" s="50">
        <f t="shared" si="56"/>
        <v>1250</v>
      </c>
      <c r="AE161" s="50">
        <f t="shared" si="57"/>
        <v>6250</v>
      </c>
      <c r="AF161" s="50">
        <f t="shared" si="58"/>
        <v>1250</v>
      </c>
      <c r="AG161" s="51" t="str">
        <f t="shared" si="59"/>
        <v xml:space="preserve">5 MACHINERY,UTILITIESALL </v>
      </c>
      <c r="AH161" s="41"/>
      <c r="AI161" s="51" t="s">
        <v>487</v>
      </c>
      <c r="AJ161" s="51" t="s">
        <v>488</v>
      </c>
    </row>
    <row r="162" spans="1:36" ht="15.95" customHeight="1">
      <c r="A162" s="101" t="s">
        <v>523</v>
      </c>
      <c r="B162" s="102" t="s">
        <v>350</v>
      </c>
      <c r="C162" s="102" t="s">
        <v>524</v>
      </c>
      <c r="D162" s="74" t="s">
        <v>524</v>
      </c>
      <c r="E162" s="104" t="s">
        <v>353</v>
      </c>
      <c r="F162" s="101" t="s">
        <v>72</v>
      </c>
      <c r="G162" s="101" t="s">
        <v>486</v>
      </c>
      <c r="H162" s="101">
        <v>2026</v>
      </c>
      <c r="I162" s="105">
        <v>46218</v>
      </c>
      <c r="J162" s="105"/>
      <c r="K162" s="109">
        <v>1</v>
      </c>
      <c r="L162" s="106">
        <v>15000</v>
      </c>
      <c r="M162" s="48">
        <f>+IF(E162="",0,VLOOKUP(E162,[1]Code!J:K,2,0))</f>
        <v>5</v>
      </c>
      <c r="N162" s="49">
        <f t="shared" si="40"/>
        <v>0.2</v>
      </c>
      <c r="O162" s="50">
        <f t="shared" si="41"/>
        <v>0</v>
      </c>
      <c r="P162" s="50">
        <f t="shared" si="42"/>
        <v>0</v>
      </c>
      <c r="Q162" s="50">
        <f t="shared" si="43"/>
        <v>0</v>
      </c>
      <c r="R162" s="50">
        <f t="shared" si="44"/>
        <v>0</v>
      </c>
      <c r="S162" s="50">
        <f t="shared" si="45"/>
        <v>0</v>
      </c>
      <c r="T162" s="50">
        <f t="shared" si="46"/>
        <v>0</v>
      </c>
      <c r="U162" s="50">
        <f t="shared" si="47"/>
        <v>0</v>
      </c>
      <c r="V162" s="50">
        <f t="shared" si="48"/>
        <v>0</v>
      </c>
      <c r="W162" s="50">
        <f t="shared" si="49"/>
        <v>0</v>
      </c>
      <c r="X162" s="50">
        <f t="shared" si="50"/>
        <v>0</v>
      </c>
      <c r="Y162" s="50">
        <f t="shared" si="51"/>
        <v>15000</v>
      </c>
      <c r="Z162" s="50">
        <f t="shared" si="52"/>
        <v>3000</v>
      </c>
      <c r="AA162" s="50">
        <f t="shared" si="53"/>
        <v>12000</v>
      </c>
      <c r="AB162" s="50">
        <f t="shared" si="54"/>
        <v>3000</v>
      </c>
      <c r="AC162" s="50">
        <f t="shared" si="55"/>
        <v>9000</v>
      </c>
      <c r="AD162" s="50">
        <f t="shared" si="56"/>
        <v>3000</v>
      </c>
      <c r="AE162" s="50">
        <f t="shared" si="57"/>
        <v>6000</v>
      </c>
      <c r="AF162" s="50">
        <f t="shared" si="58"/>
        <v>3000</v>
      </c>
      <c r="AG162" s="51" t="str">
        <f t="shared" si="59"/>
        <v xml:space="preserve">9 DIESALL </v>
      </c>
      <c r="AH162" s="41"/>
      <c r="AI162" s="51" t="s">
        <v>487</v>
      </c>
      <c r="AJ162" s="51" t="s">
        <v>488</v>
      </c>
    </row>
    <row r="163" spans="1:36" ht="15.95" customHeight="1">
      <c r="A163" s="101" t="s">
        <v>525</v>
      </c>
      <c r="B163" s="102" t="s">
        <v>200</v>
      </c>
      <c r="C163" s="102" t="s">
        <v>526</v>
      </c>
      <c r="D163" s="74" t="s">
        <v>526</v>
      </c>
      <c r="E163" s="104" t="s">
        <v>353</v>
      </c>
      <c r="F163" s="101" t="s">
        <v>72</v>
      </c>
      <c r="G163" s="101" t="s">
        <v>486</v>
      </c>
      <c r="H163" s="101">
        <v>2026</v>
      </c>
      <c r="I163" s="105">
        <v>46218</v>
      </c>
      <c r="J163" s="105"/>
      <c r="K163" s="109">
        <v>1</v>
      </c>
      <c r="L163" s="106">
        <v>20000</v>
      </c>
      <c r="M163" s="48">
        <f>+IF(E163="",0,VLOOKUP(E163,[1]Code!J:K,2,0))</f>
        <v>5</v>
      </c>
      <c r="N163" s="49">
        <f t="shared" si="40"/>
        <v>0.2</v>
      </c>
      <c r="O163" s="50">
        <f t="shared" si="41"/>
        <v>0</v>
      </c>
      <c r="P163" s="50">
        <f t="shared" si="42"/>
        <v>0</v>
      </c>
      <c r="Q163" s="50">
        <f t="shared" si="43"/>
        <v>0</v>
      </c>
      <c r="R163" s="50">
        <f t="shared" si="44"/>
        <v>0</v>
      </c>
      <c r="S163" s="50">
        <f t="shared" si="45"/>
        <v>0</v>
      </c>
      <c r="T163" s="50">
        <f t="shared" si="46"/>
        <v>0</v>
      </c>
      <c r="U163" s="50">
        <f t="shared" si="47"/>
        <v>0</v>
      </c>
      <c r="V163" s="50">
        <f t="shared" si="48"/>
        <v>0</v>
      </c>
      <c r="W163" s="50">
        <f t="shared" si="49"/>
        <v>0</v>
      </c>
      <c r="X163" s="50">
        <f t="shared" si="50"/>
        <v>0</v>
      </c>
      <c r="Y163" s="50">
        <f t="shared" si="51"/>
        <v>20000</v>
      </c>
      <c r="Z163" s="50">
        <f t="shared" si="52"/>
        <v>4000</v>
      </c>
      <c r="AA163" s="50">
        <f t="shared" si="53"/>
        <v>16000</v>
      </c>
      <c r="AB163" s="50">
        <f t="shared" si="54"/>
        <v>4000</v>
      </c>
      <c r="AC163" s="50">
        <f t="shared" si="55"/>
        <v>12000</v>
      </c>
      <c r="AD163" s="50">
        <f t="shared" si="56"/>
        <v>4000</v>
      </c>
      <c r="AE163" s="50">
        <f t="shared" si="57"/>
        <v>8000</v>
      </c>
      <c r="AF163" s="50">
        <f t="shared" si="58"/>
        <v>4000</v>
      </c>
      <c r="AG163" s="51" t="str">
        <f t="shared" si="59"/>
        <v xml:space="preserve">9 DIESALL </v>
      </c>
      <c r="AH163" s="41"/>
      <c r="AI163" s="51" t="s">
        <v>487</v>
      </c>
      <c r="AJ163" s="51" t="s">
        <v>488</v>
      </c>
    </row>
    <row r="164" spans="1:36" ht="15.95" customHeight="1">
      <c r="A164" s="101" t="s">
        <v>527</v>
      </c>
      <c r="B164" s="102" t="s">
        <v>200</v>
      </c>
      <c r="C164" s="102" t="s">
        <v>528</v>
      </c>
      <c r="D164" s="74" t="s">
        <v>529</v>
      </c>
      <c r="E164" s="104" t="s">
        <v>353</v>
      </c>
      <c r="F164" s="101" t="s">
        <v>72</v>
      </c>
      <c r="G164" s="101" t="s">
        <v>486</v>
      </c>
      <c r="H164" s="101">
        <v>2026</v>
      </c>
      <c r="I164" s="105">
        <v>46113</v>
      </c>
      <c r="J164" s="105"/>
      <c r="K164" s="109">
        <v>1</v>
      </c>
      <c r="L164" s="106">
        <v>35000</v>
      </c>
      <c r="M164" s="48">
        <f>+IF(E164="",0,VLOOKUP(E164,[1]Code!J:K,2,0))</f>
        <v>5</v>
      </c>
      <c r="N164" s="49">
        <f t="shared" si="40"/>
        <v>0.2</v>
      </c>
      <c r="O164" s="50">
        <f t="shared" si="41"/>
        <v>0</v>
      </c>
      <c r="P164" s="50">
        <f t="shared" si="42"/>
        <v>0</v>
      </c>
      <c r="Q164" s="50">
        <f t="shared" si="43"/>
        <v>0</v>
      </c>
      <c r="R164" s="50">
        <f t="shared" si="44"/>
        <v>0</v>
      </c>
      <c r="S164" s="50">
        <f t="shared" si="45"/>
        <v>0</v>
      </c>
      <c r="T164" s="50">
        <f t="shared" si="46"/>
        <v>0</v>
      </c>
      <c r="U164" s="50">
        <f t="shared" si="47"/>
        <v>0</v>
      </c>
      <c r="V164" s="50">
        <f t="shared" si="48"/>
        <v>0</v>
      </c>
      <c r="W164" s="50">
        <f t="shared" si="49"/>
        <v>0</v>
      </c>
      <c r="X164" s="50">
        <f t="shared" si="50"/>
        <v>0</v>
      </c>
      <c r="Y164" s="50">
        <f t="shared" si="51"/>
        <v>35000</v>
      </c>
      <c r="Z164" s="50">
        <f t="shared" si="52"/>
        <v>7000</v>
      </c>
      <c r="AA164" s="50">
        <f t="shared" si="53"/>
        <v>28000</v>
      </c>
      <c r="AB164" s="50">
        <f t="shared" si="54"/>
        <v>7000</v>
      </c>
      <c r="AC164" s="50">
        <f t="shared" si="55"/>
        <v>21000</v>
      </c>
      <c r="AD164" s="50">
        <f t="shared" si="56"/>
        <v>7000</v>
      </c>
      <c r="AE164" s="50">
        <f t="shared" si="57"/>
        <v>14000</v>
      </c>
      <c r="AF164" s="50">
        <f t="shared" si="58"/>
        <v>7000</v>
      </c>
      <c r="AG164" s="51" t="str">
        <f t="shared" si="59"/>
        <v xml:space="preserve">9 DIESALL </v>
      </c>
      <c r="AH164" s="41"/>
      <c r="AI164" s="51" t="s">
        <v>487</v>
      </c>
      <c r="AJ164" s="51" t="s">
        <v>488</v>
      </c>
    </row>
    <row r="165" spans="1:36" ht="15.95" customHeight="1">
      <c r="A165" s="101" t="s">
        <v>530</v>
      </c>
      <c r="B165" s="110" t="s">
        <v>350</v>
      </c>
      <c r="C165" s="108" t="s">
        <v>351</v>
      </c>
      <c r="D165" s="103" t="s">
        <v>531</v>
      </c>
      <c r="E165" s="104" t="s">
        <v>353</v>
      </c>
      <c r="F165" s="101" t="s">
        <v>72</v>
      </c>
      <c r="G165" s="101" t="s">
        <v>486</v>
      </c>
      <c r="H165" s="101">
        <v>2026</v>
      </c>
      <c r="I165" s="105" t="s">
        <v>532</v>
      </c>
      <c r="J165" s="105"/>
      <c r="K165" s="111">
        <v>5</v>
      </c>
      <c r="L165" s="106">
        <v>40000</v>
      </c>
      <c r="M165" s="48">
        <f>+IF(E165="",0,VLOOKUP(E165,[1]Code!J:K,2,0))</f>
        <v>5</v>
      </c>
      <c r="N165" s="49">
        <f t="shared" si="40"/>
        <v>0.2</v>
      </c>
      <c r="O165" s="50">
        <f t="shared" si="41"/>
        <v>0</v>
      </c>
      <c r="P165" s="50">
        <f t="shared" si="42"/>
        <v>0</v>
      </c>
      <c r="Q165" s="50">
        <f t="shared" si="43"/>
        <v>0</v>
      </c>
      <c r="R165" s="50">
        <f t="shared" si="44"/>
        <v>0</v>
      </c>
      <c r="S165" s="50">
        <f t="shared" si="45"/>
        <v>0</v>
      </c>
      <c r="T165" s="50">
        <f t="shared" si="46"/>
        <v>0</v>
      </c>
      <c r="U165" s="50">
        <f t="shared" si="47"/>
        <v>0</v>
      </c>
      <c r="V165" s="50">
        <f t="shared" si="48"/>
        <v>0</v>
      </c>
      <c r="W165" s="50">
        <f t="shared" si="49"/>
        <v>0</v>
      </c>
      <c r="X165" s="50">
        <f t="shared" si="50"/>
        <v>0</v>
      </c>
      <c r="Y165" s="50">
        <f t="shared" si="51"/>
        <v>40000</v>
      </c>
      <c r="Z165" s="50">
        <f t="shared" si="52"/>
        <v>8000</v>
      </c>
      <c r="AA165" s="50">
        <f t="shared" si="53"/>
        <v>32000</v>
      </c>
      <c r="AB165" s="50">
        <f t="shared" si="54"/>
        <v>8000</v>
      </c>
      <c r="AC165" s="50">
        <f t="shared" si="55"/>
        <v>24000</v>
      </c>
      <c r="AD165" s="50">
        <f t="shared" si="56"/>
        <v>8000</v>
      </c>
      <c r="AE165" s="50">
        <f t="shared" si="57"/>
        <v>16000</v>
      </c>
      <c r="AF165" s="50">
        <f t="shared" si="58"/>
        <v>8000</v>
      </c>
      <c r="AG165" s="51" t="str">
        <f t="shared" si="59"/>
        <v xml:space="preserve">9 DIESALL </v>
      </c>
      <c r="AH165" s="41"/>
      <c r="AI165" s="51" t="s">
        <v>487</v>
      </c>
      <c r="AJ165" s="51" t="s">
        <v>488</v>
      </c>
    </row>
    <row r="166" spans="1:36" ht="15.95" customHeight="1">
      <c r="A166" s="101" t="s">
        <v>533</v>
      </c>
      <c r="B166" s="110" t="s">
        <v>350</v>
      </c>
      <c r="C166" s="110" t="s">
        <v>534</v>
      </c>
      <c r="D166" s="103" t="s">
        <v>535</v>
      </c>
      <c r="E166" s="104" t="s">
        <v>353</v>
      </c>
      <c r="F166" s="101" t="s">
        <v>72</v>
      </c>
      <c r="G166" s="101" t="s">
        <v>486</v>
      </c>
      <c r="H166" s="101">
        <v>2026</v>
      </c>
      <c r="I166" s="105" t="s">
        <v>536</v>
      </c>
      <c r="J166" s="105"/>
      <c r="K166" s="101">
        <v>15</v>
      </c>
      <c r="L166" s="106">
        <v>5000</v>
      </c>
      <c r="M166" s="48">
        <f>+IF(E166="",0,VLOOKUP(E166,[1]Code!J:K,2,0))</f>
        <v>5</v>
      </c>
      <c r="N166" s="49">
        <f t="shared" si="40"/>
        <v>0.2</v>
      </c>
      <c r="O166" s="50">
        <f t="shared" si="41"/>
        <v>0</v>
      </c>
      <c r="P166" s="50">
        <f t="shared" si="42"/>
        <v>0</v>
      </c>
      <c r="Q166" s="50">
        <f t="shared" si="43"/>
        <v>0</v>
      </c>
      <c r="R166" s="50">
        <f t="shared" si="44"/>
        <v>0</v>
      </c>
      <c r="S166" s="50">
        <f t="shared" si="45"/>
        <v>0</v>
      </c>
      <c r="T166" s="50">
        <f t="shared" si="46"/>
        <v>0</v>
      </c>
      <c r="U166" s="50">
        <f t="shared" si="47"/>
        <v>0</v>
      </c>
      <c r="V166" s="50">
        <f t="shared" si="48"/>
        <v>0</v>
      </c>
      <c r="W166" s="50">
        <f t="shared" si="49"/>
        <v>0</v>
      </c>
      <c r="X166" s="50">
        <f t="shared" si="50"/>
        <v>0</v>
      </c>
      <c r="Y166" s="50">
        <f t="shared" si="51"/>
        <v>5000</v>
      </c>
      <c r="Z166" s="50">
        <f t="shared" si="52"/>
        <v>1000</v>
      </c>
      <c r="AA166" s="50">
        <f t="shared" si="53"/>
        <v>4000</v>
      </c>
      <c r="AB166" s="50">
        <f t="shared" si="54"/>
        <v>1000</v>
      </c>
      <c r="AC166" s="50">
        <f t="shared" si="55"/>
        <v>3000</v>
      </c>
      <c r="AD166" s="50">
        <f t="shared" si="56"/>
        <v>1000</v>
      </c>
      <c r="AE166" s="50">
        <f t="shared" si="57"/>
        <v>2000</v>
      </c>
      <c r="AF166" s="50">
        <f t="shared" si="58"/>
        <v>1000</v>
      </c>
      <c r="AG166" s="51" t="str">
        <f t="shared" si="59"/>
        <v xml:space="preserve">9 DIESALL </v>
      </c>
      <c r="AH166" s="41"/>
      <c r="AI166" s="51" t="s">
        <v>487</v>
      </c>
      <c r="AJ166" s="51" t="s">
        <v>488</v>
      </c>
    </row>
    <row r="167" spans="1:36" ht="15.95" customHeight="1">
      <c r="A167" s="101" t="s">
        <v>537</v>
      </c>
      <c r="B167" s="110" t="s">
        <v>350</v>
      </c>
      <c r="C167" s="110" t="s">
        <v>538</v>
      </c>
      <c r="D167" s="103" t="s">
        <v>539</v>
      </c>
      <c r="E167" s="104" t="s">
        <v>353</v>
      </c>
      <c r="F167" s="101" t="s">
        <v>72</v>
      </c>
      <c r="G167" s="101" t="s">
        <v>486</v>
      </c>
      <c r="H167" s="101">
        <v>2026</v>
      </c>
      <c r="I167" s="105" t="s">
        <v>536</v>
      </c>
      <c r="J167" s="105"/>
      <c r="K167" s="101">
        <v>1</v>
      </c>
      <c r="L167" s="106">
        <v>5000</v>
      </c>
      <c r="M167" s="48">
        <f>+IF(E167="",0,VLOOKUP(E167,[1]Code!J:K,2,0))</f>
        <v>5</v>
      </c>
      <c r="N167" s="49">
        <f t="shared" si="40"/>
        <v>0.2</v>
      </c>
      <c r="O167" s="50">
        <f t="shared" si="41"/>
        <v>0</v>
      </c>
      <c r="P167" s="50">
        <f t="shared" si="42"/>
        <v>0</v>
      </c>
      <c r="Q167" s="50">
        <f t="shared" si="43"/>
        <v>0</v>
      </c>
      <c r="R167" s="50">
        <f t="shared" si="44"/>
        <v>0</v>
      </c>
      <c r="S167" s="50">
        <f t="shared" si="45"/>
        <v>0</v>
      </c>
      <c r="T167" s="50">
        <f t="shared" si="46"/>
        <v>0</v>
      </c>
      <c r="U167" s="50">
        <f t="shared" si="47"/>
        <v>0</v>
      </c>
      <c r="V167" s="50">
        <f t="shared" si="48"/>
        <v>0</v>
      </c>
      <c r="W167" s="50">
        <f t="shared" si="49"/>
        <v>0</v>
      </c>
      <c r="X167" s="50">
        <f t="shared" si="50"/>
        <v>0</v>
      </c>
      <c r="Y167" s="50">
        <f t="shared" si="51"/>
        <v>5000</v>
      </c>
      <c r="Z167" s="50">
        <f t="shared" si="52"/>
        <v>1000</v>
      </c>
      <c r="AA167" s="50">
        <f t="shared" si="53"/>
        <v>4000</v>
      </c>
      <c r="AB167" s="50">
        <f t="shared" si="54"/>
        <v>1000</v>
      </c>
      <c r="AC167" s="50">
        <f t="shared" si="55"/>
        <v>3000</v>
      </c>
      <c r="AD167" s="50">
        <f t="shared" si="56"/>
        <v>1000</v>
      </c>
      <c r="AE167" s="50">
        <f t="shared" si="57"/>
        <v>2000</v>
      </c>
      <c r="AF167" s="50">
        <f t="shared" si="58"/>
        <v>1000</v>
      </c>
      <c r="AG167" s="51" t="str">
        <f t="shared" si="59"/>
        <v xml:space="preserve">9 DIESALL </v>
      </c>
      <c r="AH167" s="41"/>
      <c r="AI167" s="51" t="s">
        <v>487</v>
      </c>
      <c r="AJ167" s="51" t="s">
        <v>488</v>
      </c>
    </row>
    <row r="168" spans="1:36" ht="15.95" customHeight="1">
      <c r="A168" s="101" t="s">
        <v>540</v>
      </c>
      <c r="B168" s="110" t="s">
        <v>514</v>
      </c>
      <c r="C168" s="108" t="s">
        <v>541</v>
      </c>
      <c r="D168" s="103" t="s">
        <v>542</v>
      </c>
      <c r="E168" s="104" t="s">
        <v>119</v>
      </c>
      <c r="F168" s="101" t="s">
        <v>72</v>
      </c>
      <c r="G168" s="101" t="s">
        <v>486</v>
      </c>
      <c r="H168" s="101">
        <v>2026</v>
      </c>
      <c r="I168" s="105" t="s">
        <v>76</v>
      </c>
      <c r="J168" s="105"/>
      <c r="K168" s="111">
        <v>1</v>
      </c>
      <c r="L168" s="106">
        <v>7000</v>
      </c>
      <c r="M168" s="48">
        <f>+IF(E168="",0,VLOOKUP(E168,[1]Code!J:K,2,0))</f>
        <v>8</v>
      </c>
      <c r="N168" s="49">
        <f t="shared" si="40"/>
        <v>0.125</v>
      </c>
      <c r="O168" s="50">
        <f t="shared" si="41"/>
        <v>0</v>
      </c>
      <c r="P168" s="50">
        <f t="shared" si="42"/>
        <v>0</v>
      </c>
      <c r="Q168" s="50">
        <f t="shared" si="43"/>
        <v>0</v>
      </c>
      <c r="R168" s="50">
        <f t="shared" si="44"/>
        <v>0</v>
      </c>
      <c r="S168" s="50">
        <f t="shared" si="45"/>
        <v>0</v>
      </c>
      <c r="T168" s="50">
        <f t="shared" si="46"/>
        <v>0</v>
      </c>
      <c r="U168" s="50">
        <f t="shared" si="47"/>
        <v>0</v>
      </c>
      <c r="V168" s="50">
        <f t="shared" si="48"/>
        <v>0</v>
      </c>
      <c r="W168" s="50">
        <f t="shared" si="49"/>
        <v>0</v>
      </c>
      <c r="X168" s="50">
        <f t="shared" si="50"/>
        <v>0</v>
      </c>
      <c r="Y168" s="50">
        <f t="shared" si="51"/>
        <v>7000</v>
      </c>
      <c r="Z168" s="50">
        <f t="shared" si="52"/>
        <v>875</v>
      </c>
      <c r="AA168" s="50">
        <f t="shared" si="53"/>
        <v>6125</v>
      </c>
      <c r="AB168" s="50">
        <f t="shared" si="54"/>
        <v>875</v>
      </c>
      <c r="AC168" s="50">
        <f t="shared" si="55"/>
        <v>5250</v>
      </c>
      <c r="AD168" s="50">
        <f t="shared" si="56"/>
        <v>875</v>
      </c>
      <c r="AE168" s="50">
        <f t="shared" si="57"/>
        <v>4375</v>
      </c>
      <c r="AF168" s="50">
        <f t="shared" si="58"/>
        <v>875</v>
      </c>
      <c r="AG168" s="51" t="str">
        <f t="shared" si="59"/>
        <v xml:space="preserve">5 MACHINERY,UTILITIESALL </v>
      </c>
      <c r="AH168" s="41"/>
      <c r="AI168" s="51" t="s">
        <v>487</v>
      </c>
      <c r="AJ168" s="51" t="s">
        <v>488</v>
      </c>
    </row>
    <row r="169" spans="1:36" ht="15.95" customHeight="1">
      <c r="A169" s="101" t="s">
        <v>543</v>
      </c>
      <c r="B169" s="110" t="s">
        <v>277</v>
      </c>
      <c r="C169" s="108" t="s">
        <v>544</v>
      </c>
      <c r="D169" s="103" t="s">
        <v>545</v>
      </c>
      <c r="E169" s="104" t="s">
        <v>119</v>
      </c>
      <c r="F169" s="101" t="s">
        <v>72</v>
      </c>
      <c r="G169" s="101" t="s">
        <v>486</v>
      </c>
      <c r="H169" s="101">
        <v>2026</v>
      </c>
      <c r="I169" s="105" t="s">
        <v>73</v>
      </c>
      <c r="J169" s="105"/>
      <c r="K169" s="111">
        <v>1</v>
      </c>
      <c r="L169" s="106">
        <v>2000</v>
      </c>
      <c r="M169" s="48">
        <f>+IF(E169="",0,VLOOKUP(E169,[1]Code!J:K,2,0))</f>
        <v>8</v>
      </c>
      <c r="N169" s="49">
        <f t="shared" si="40"/>
        <v>0.125</v>
      </c>
      <c r="O169" s="50">
        <f t="shared" si="41"/>
        <v>0</v>
      </c>
      <c r="P169" s="50">
        <f t="shared" si="42"/>
        <v>0</v>
      </c>
      <c r="Q169" s="50">
        <f t="shared" si="43"/>
        <v>0</v>
      </c>
      <c r="R169" s="50">
        <f t="shared" si="44"/>
        <v>0</v>
      </c>
      <c r="S169" s="50">
        <f t="shared" si="45"/>
        <v>0</v>
      </c>
      <c r="T169" s="50">
        <f t="shared" si="46"/>
        <v>0</v>
      </c>
      <c r="U169" s="50">
        <f t="shared" si="47"/>
        <v>0</v>
      </c>
      <c r="V169" s="50">
        <f t="shared" si="48"/>
        <v>0</v>
      </c>
      <c r="W169" s="50">
        <f t="shared" si="49"/>
        <v>0</v>
      </c>
      <c r="X169" s="50">
        <f t="shared" si="50"/>
        <v>0</v>
      </c>
      <c r="Y169" s="50">
        <f t="shared" si="51"/>
        <v>2000</v>
      </c>
      <c r="Z169" s="50">
        <f t="shared" si="52"/>
        <v>250</v>
      </c>
      <c r="AA169" s="50">
        <f t="shared" si="53"/>
        <v>1750</v>
      </c>
      <c r="AB169" s="50">
        <f t="shared" si="54"/>
        <v>250</v>
      </c>
      <c r="AC169" s="50">
        <f t="shared" si="55"/>
        <v>1500</v>
      </c>
      <c r="AD169" s="50">
        <f t="shared" si="56"/>
        <v>250</v>
      </c>
      <c r="AE169" s="50">
        <f t="shared" si="57"/>
        <v>1250</v>
      </c>
      <c r="AF169" s="50">
        <f t="shared" si="58"/>
        <v>250</v>
      </c>
      <c r="AG169" s="51" t="str">
        <f t="shared" si="59"/>
        <v xml:space="preserve">5 MACHINERY,UTILITIESALL </v>
      </c>
      <c r="AH169" s="41"/>
      <c r="AI169" s="51" t="s">
        <v>487</v>
      </c>
      <c r="AJ169" s="51" t="s">
        <v>488</v>
      </c>
    </row>
    <row r="170" spans="1:36" ht="15.95" customHeight="1">
      <c r="A170" s="101" t="s">
        <v>546</v>
      </c>
      <c r="B170" s="110" t="s">
        <v>514</v>
      </c>
      <c r="C170" s="108" t="s">
        <v>547</v>
      </c>
      <c r="D170" s="103" t="s">
        <v>548</v>
      </c>
      <c r="E170" s="104" t="s">
        <v>119</v>
      </c>
      <c r="F170" s="101" t="s">
        <v>72</v>
      </c>
      <c r="G170" s="101" t="s">
        <v>486</v>
      </c>
      <c r="H170" s="101">
        <v>2026</v>
      </c>
      <c r="I170" s="105" t="s">
        <v>549</v>
      </c>
      <c r="J170" s="105"/>
      <c r="K170" s="111">
        <v>1</v>
      </c>
      <c r="L170" s="106">
        <v>6500</v>
      </c>
      <c r="M170" s="48">
        <f>+IF(E170="",0,VLOOKUP(E170,[1]Code!J:K,2,0))</f>
        <v>8</v>
      </c>
      <c r="N170" s="49">
        <f t="shared" si="40"/>
        <v>0.125</v>
      </c>
      <c r="O170" s="50">
        <f t="shared" si="41"/>
        <v>0</v>
      </c>
      <c r="P170" s="50">
        <f t="shared" si="42"/>
        <v>0</v>
      </c>
      <c r="Q170" s="50">
        <f t="shared" si="43"/>
        <v>0</v>
      </c>
      <c r="R170" s="50">
        <f t="shared" si="44"/>
        <v>0</v>
      </c>
      <c r="S170" s="50">
        <f t="shared" si="45"/>
        <v>0</v>
      </c>
      <c r="T170" s="50">
        <f t="shared" si="46"/>
        <v>0</v>
      </c>
      <c r="U170" s="50">
        <f t="shared" si="47"/>
        <v>0</v>
      </c>
      <c r="V170" s="50">
        <f t="shared" si="48"/>
        <v>0</v>
      </c>
      <c r="W170" s="50">
        <f t="shared" si="49"/>
        <v>0</v>
      </c>
      <c r="X170" s="50">
        <f t="shared" si="50"/>
        <v>0</v>
      </c>
      <c r="Y170" s="50">
        <f t="shared" si="51"/>
        <v>6500</v>
      </c>
      <c r="Z170" s="50">
        <f t="shared" si="52"/>
        <v>812.5</v>
      </c>
      <c r="AA170" s="50">
        <f t="shared" si="53"/>
        <v>5687.5</v>
      </c>
      <c r="AB170" s="50">
        <f t="shared" si="54"/>
        <v>812.5</v>
      </c>
      <c r="AC170" s="50">
        <f t="shared" si="55"/>
        <v>4875</v>
      </c>
      <c r="AD170" s="50">
        <f t="shared" si="56"/>
        <v>812.5</v>
      </c>
      <c r="AE170" s="50">
        <f t="shared" si="57"/>
        <v>4062.5</v>
      </c>
      <c r="AF170" s="50">
        <f t="shared" si="58"/>
        <v>812.5</v>
      </c>
      <c r="AG170" s="51" t="str">
        <f t="shared" si="59"/>
        <v xml:space="preserve">5 MACHINERY,UTILITIESALL </v>
      </c>
      <c r="AH170" s="41"/>
      <c r="AI170" s="51" t="s">
        <v>487</v>
      </c>
      <c r="AJ170" s="51" t="s">
        <v>488</v>
      </c>
    </row>
    <row r="171" spans="1:36" ht="15.95" customHeight="1">
      <c r="A171" s="101" t="s">
        <v>550</v>
      </c>
      <c r="B171" s="110" t="s">
        <v>514</v>
      </c>
      <c r="C171" s="110" t="s">
        <v>551</v>
      </c>
      <c r="D171" s="103" t="s">
        <v>552</v>
      </c>
      <c r="E171" s="104" t="s">
        <v>119</v>
      </c>
      <c r="F171" s="101" t="s">
        <v>72</v>
      </c>
      <c r="G171" s="101" t="s">
        <v>486</v>
      </c>
      <c r="H171" s="101">
        <v>2026</v>
      </c>
      <c r="I171" s="105" t="s">
        <v>203</v>
      </c>
      <c r="J171" s="105"/>
      <c r="K171" s="101">
        <v>10</v>
      </c>
      <c r="L171" s="106">
        <v>2500</v>
      </c>
      <c r="M171" s="48">
        <f>+IF(E171="",0,VLOOKUP(E171,[1]Code!J:K,2,0))</f>
        <v>8</v>
      </c>
      <c r="N171" s="49">
        <f t="shared" si="40"/>
        <v>0.125</v>
      </c>
      <c r="O171" s="50">
        <f t="shared" si="41"/>
        <v>0</v>
      </c>
      <c r="P171" s="50">
        <f t="shared" si="42"/>
        <v>0</v>
      </c>
      <c r="Q171" s="50">
        <f t="shared" si="43"/>
        <v>0</v>
      </c>
      <c r="R171" s="50">
        <f t="shared" si="44"/>
        <v>0</v>
      </c>
      <c r="S171" s="50">
        <f t="shared" si="45"/>
        <v>0</v>
      </c>
      <c r="T171" s="50">
        <f t="shared" si="46"/>
        <v>0</v>
      </c>
      <c r="U171" s="50">
        <f t="shared" si="47"/>
        <v>0</v>
      </c>
      <c r="V171" s="50">
        <f t="shared" si="48"/>
        <v>0</v>
      </c>
      <c r="W171" s="50">
        <f t="shared" si="49"/>
        <v>0</v>
      </c>
      <c r="X171" s="50">
        <f t="shared" si="50"/>
        <v>0</v>
      </c>
      <c r="Y171" s="50">
        <f t="shared" si="51"/>
        <v>2500</v>
      </c>
      <c r="Z171" s="50">
        <f t="shared" si="52"/>
        <v>312.5</v>
      </c>
      <c r="AA171" s="50">
        <f t="shared" si="53"/>
        <v>2187.5</v>
      </c>
      <c r="AB171" s="50">
        <f t="shared" si="54"/>
        <v>312.5</v>
      </c>
      <c r="AC171" s="50">
        <f t="shared" si="55"/>
        <v>1875</v>
      </c>
      <c r="AD171" s="50">
        <f t="shared" si="56"/>
        <v>312.5</v>
      </c>
      <c r="AE171" s="50">
        <f t="shared" si="57"/>
        <v>1562.5</v>
      </c>
      <c r="AF171" s="50">
        <f t="shared" si="58"/>
        <v>312.5</v>
      </c>
      <c r="AG171" s="51" t="str">
        <f t="shared" si="59"/>
        <v xml:space="preserve">5 MACHINERY,UTILITIESALL </v>
      </c>
      <c r="AH171" s="41"/>
      <c r="AI171" s="51" t="s">
        <v>487</v>
      </c>
      <c r="AJ171" s="51" t="s">
        <v>488</v>
      </c>
    </row>
    <row r="172" spans="1:36" ht="15.95" customHeight="1">
      <c r="A172" s="101" t="s">
        <v>553</v>
      </c>
      <c r="B172" s="110" t="s">
        <v>217</v>
      </c>
      <c r="C172" s="110" t="s">
        <v>554</v>
      </c>
      <c r="D172" s="103" t="s">
        <v>555</v>
      </c>
      <c r="E172" s="104" t="s">
        <v>119</v>
      </c>
      <c r="F172" s="101" t="s">
        <v>72</v>
      </c>
      <c r="G172" s="101" t="s">
        <v>486</v>
      </c>
      <c r="H172" s="101">
        <v>2026</v>
      </c>
      <c r="I172" s="105" t="s">
        <v>532</v>
      </c>
      <c r="J172" s="105"/>
      <c r="K172" s="101">
        <v>1</v>
      </c>
      <c r="L172" s="106">
        <v>2000</v>
      </c>
      <c r="M172" s="48">
        <f>+IF(E172="",0,VLOOKUP(E172,[1]Code!J:K,2,0))</f>
        <v>8</v>
      </c>
      <c r="N172" s="49">
        <f t="shared" si="40"/>
        <v>0.125</v>
      </c>
      <c r="O172" s="50">
        <f t="shared" si="41"/>
        <v>0</v>
      </c>
      <c r="P172" s="50">
        <f t="shared" si="42"/>
        <v>0</v>
      </c>
      <c r="Q172" s="50">
        <f t="shared" si="43"/>
        <v>0</v>
      </c>
      <c r="R172" s="50">
        <f t="shared" si="44"/>
        <v>0</v>
      </c>
      <c r="S172" s="50">
        <f t="shared" si="45"/>
        <v>0</v>
      </c>
      <c r="T172" s="50">
        <f t="shared" si="46"/>
        <v>0</v>
      </c>
      <c r="U172" s="50">
        <f t="shared" si="47"/>
        <v>0</v>
      </c>
      <c r="V172" s="50">
        <f t="shared" si="48"/>
        <v>0</v>
      </c>
      <c r="W172" s="50">
        <f t="shared" si="49"/>
        <v>0</v>
      </c>
      <c r="X172" s="50">
        <f t="shared" si="50"/>
        <v>0</v>
      </c>
      <c r="Y172" s="50">
        <f t="shared" si="51"/>
        <v>2000</v>
      </c>
      <c r="Z172" s="50">
        <f t="shared" si="52"/>
        <v>250</v>
      </c>
      <c r="AA172" s="50">
        <f t="shared" si="53"/>
        <v>1750</v>
      </c>
      <c r="AB172" s="50">
        <f t="shared" si="54"/>
        <v>250</v>
      </c>
      <c r="AC172" s="50">
        <f t="shared" si="55"/>
        <v>1500</v>
      </c>
      <c r="AD172" s="50">
        <f t="shared" si="56"/>
        <v>250</v>
      </c>
      <c r="AE172" s="50">
        <f t="shared" si="57"/>
        <v>1250</v>
      </c>
      <c r="AF172" s="50">
        <f t="shared" si="58"/>
        <v>250</v>
      </c>
      <c r="AG172" s="51" t="str">
        <f t="shared" si="59"/>
        <v xml:space="preserve">5 MACHINERY,UTILITIESALL </v>
      </c>
      <c r="AH172" s="41"/>
      <c r="AI172" s="51" t="s">
        <v>487</v>
      </c>
      <c r="AJ172" s="51" t="s">
        <v>488</v>
      </c>
    </row>
    <row r="173" spans="1:36" ht="15.95" customHeight="1">
      <c r="A173" s="101" t="s">
        <v>556</v>
      </c>
      <c r="B173" s="110" t="s">
        <v>293</v>
      </c>
      <c r="C173" s="110" t="s">
        <v>557</v>
      </c>
      <c r="D173" s="103" t="s">
        <v>558</v>
      </c>
      <c r="E173" s="104" t="s">
        <v>119</v>
      </c>
      <c r="F173" s="101" t="s">
        <v>72</v>
      </c>
      <c r="G173" s="101" t="s">
        <v>486</v>
      </c>
      <c r="H173" s="101">
        <v>2026</v>
      </c>
      <c r="I173" s="105" t="s">
        <v>532</v>
      </c>
      <c r="J173" s="105"/>
      <c r="K173" s="101">
        <v>1</v>
      </c>
      <c r="L173" s="106">
        <v>2000</v>
      </c>
      <c r="M173" s="48">
        <f>+IF(E173="",0,VLOOKUP(E173,[1]Code!J:K,2,0))</f>
        <v>8</v>
      </c>
      <c r="N173" s="49">
        <f t="shared" si="40"/>
        <v>0.125</v>
      </c>
      <c r="O173" s="50">
        <f t="shared" si="41"/>
        <v>0</v>
      </c>
      <c r="P173" s="50">
        <f t="shared" si="42"/>
        <v>0</v>
      </c>
      <c r="Q173" s="50">
        <f t="shared" si="43"/>
        <v>0</v>
      </c>
      <c r="R173" s="50">
        <f t="shared" si="44"/>
        <v>0</v>
      </c>
      <c r="S173" s="50">
        <f t="shared" si="45"/>
        <v>0</v>
      </c>
      <c r="T173" s="50">
        <f t="shared" si="46"/>
        <v>0</v>
      </c>
      <c r="U173" s="50">
        <f t="shared" si="47"/>
        <v>0</v>
      </c>
      <c r="V173" s="50">
        <f t="shared" si="48"/>
        <v>0</v>
      </c>
      <c r="W173" s="50">
        <f t="shared" si="49"/>
        <v>0</v>
      </c>
      <c r="X173" s="50">
        <f t="shared" si="50"/>
        <v>0</v>
      </c>
      <c r="Y173" s="50">
        <f t="shared" si="51"/>
        <v>2000</v>
      </c>
      <c r="Z173" s="50">
        <f t="shared" si="52"/>
        <v>250</v>
      </c>
      <c r="AA173" s="50">
        <f t="shared" si="53"/>
        <v>1750</v>
      </c>
      <c r="AB173" s="50">
        <f t="shared" si="54"/>
        <v>250</v>
      </c>
      <c r="AC173" s="50">
        <f t="shared" si="55"/>
        <v>1500</v>
      </c>
      <c r="AD173" s="50">
        <f t="shared" si="56"/>
        <v>250</v>
      </c>
      <c r="AE173" s="50">
        <f t="shared" si="57"/>
        <v>1250</v>
      </c>
      <c r="AF173" s="50">
        <f t="shared" si="58"/>
        <v>250</v>
      </c>
      <c r="AG173" s="51" t="str">
        <f t="shared" si="59"/>
        <v xml:space="preserve">5 MACHINERY,UTILITIESALL </v>
      </c>
      <c r="AH173" s="41"/>
      <c r="AI173" s="51" t="s">
        <v>487</v>
      </c>
      <c r="AJ173" s="51" t="s">
        <v>488</v>
      </c>
    </row>
    <row r="174" spans="1:36" ht="15.95" customHeight="1">
      <c r="A174" s="101" t="s">
        <v>559</v>
      </c>
      <c r="B174" s="110" t="s">
        <v>200</v>
      </c>
      <c r="C174" s="102" t="s">
        <v>560</v>
      </c>
      <c r="D174" s="103" t="s">
        <v>561</v>
      </c>
      <c r="E174" s="104" t="s">
        <v>353</v>
      </c>
      <c r="F174" s="101" t="s">
        <v>72</v>
      </c>
      <c r="G174" s="101" t="s">
        <v>486</v>
      </c>
      <c r="H174" s="101">
        <v>2026</v>
      </c>
      <c r="I174" s="105">
        <v>46204</v>
      </c>
      <c r="J174" s="105"/>
      <c r="K174" s="101">
        <v>14</v>
      </c>
      <c r="L174" s="106">
        <v>100000</v>
      </c>
      <c r="M174" s="48">
        <f>+IF(E174="",0,VLOOKUP(E174,[1]Code!J:K,2,0))</f>
        <v>5</v>
      </c>
      <c r="N174" s="49">
        <f t="shared" si="40"/>
        <v>0.2</v>
      </c>
      <c r="O174" s="50">
        <f t="shared" si="41"/>
        <v>0</v>
      </c>
      <c r="P174" s="50">
        <f t="shared" si="42"/>
        <v>0</v>
      </c>
      <c r="Q174" s="50">
        <f t="shared" si="43"/>
        <v>0</v>
      </c>
      <c r="R174" s="50">
        <f t="shared" si="44"/>
        <v>0</v>
      </c>
      <c r="S174" s="50">
        <f t="shared" si="45"/>
        <v>0</v>
      </c>
      <c r="T174" s="50">
        <f t="shared" si="46"/>
        <v>0</v>
      </c>
      <c r="U174" s="50">
        <f t="shared" si="47"/>
        <v>0</v>
      </c>
      <c r="V174" s="50">
        <f t="shared" si="48"/>
        <v>0</v>
      </c>
      <c r="W174" s="50">
        <f t="shared" si="49"/>
        <v>0</v>
      </c>
      <c r="X174" s="50">
        <f t="shared" si="50"/>
        <v>0</v>
      </c>
      <c r="Y174" s="50">
        <f t="shared" si="51"/>
        <v>100000</v>
      </c>
      <c r="Z174" s="50">
        <f t="shared" si="52"/>
        <v>20000</v>
      </c>
      <c r="AA174" s="50">
        <f t="shared" si="53"/>
        <v>80000</v>
      </c>
      <c r="AB174" s="50">
        <f t="shared" si="54"/>
        <v>20000</v>
      </c>
      <c r="AC174" s="50">
        <f t="shared" si="55"/>
        <v>60000</v>
      </c>
      <c r="AD174" s="50">
        <f t="shared" si="56"/>
        <v>20000</v>
      </c>
      <c r="AE174" s="50">
        <f t="shared" si="57"/>
        <v>40000</v>
      </c>
      <c r="AF174" s="50">
        <f t="shared" si="58"/>
        <v>20000</v>
      </c>
      <c r="AG174" s="51" t="str">
        <f t="shared" si="59"/>
        <v xml:space="preserve">9 DIESALL </v>
      </c>
      <c r="AH174" s="41"/>
      <c r="AI174" s="51" t="s">
        <v>487</v>
      </c>
      <c r="AJ174" s="51" t="s">
        <v>488</v>
      </c>
    </row>
    <row r="175" spans="1:36" ht="15.95" customHeight="1">
      <c r="A175" s="101" t="s">
        <v>562</v>
      </c>
      <c r="B175" s="110" t="s">
        <v>200</v>
      </c>
      <c r="C175" s="102" t="s">
        <v>563</v>
      </c>
      <c r="D175" s="103" t="s">
        <v>564</v>
      </c>
      <c r="E175" s="104" t="s">
        <v>353</v>
      </c>
      <c r="F175" s="101" t="s">
        <v>72</v>
      </c>
      <c r="G175" s="101" t="s">
        <v>486</v>
      </c>
      <c r="H175" s="101">
        <v>2026</v>
      </c>
      <c r="I175" s="105">
        <v>46113</v>
      </c>
      <c r="J175" s="105"/>
      <c r="K175" s="101">
        <v>7</v>
      </c>
      <c r="L175" s="106">
        <v>60000</v>
      </c>
      <c r="M175" s="48">
        <f>+IF(E175="",0,VLOOKUP(E175,[1]Code!J:K,2,0))</f>
        <v>5</v>
      </c>
      <c r="N175" s="49">
        <f t="shared" si="40"/>
        <v>0.2</v>
      </c>
      <c r="O175" s="50">
        <f t="shared" si="41"/>
        <v>0</v>
      </c>
      <c r="P175" s="50">
        <f t="shared" si="42"/>
        <v>0</v>
      </c>
      <c r="Q175" s="50">
        <f t="shared" si="43"/>
        <v>0</v>
      </c>
      <c r="R175" s="50">
        <f t="shared" si="44"/>
        <v>0</v>
      </c>
      <c r="S175" s="50">
        <f t="shared" si="45"/>
        <v>0</v>
      </c>
      <c r="T175" s="50">
        <f t="shared" si="46"/>
        <v>0</v>
      </c>
      <c r="U175" s="50">
        <f t="shared" si="47"/>
        <v>0</v>
      </c>
      <c r="V175" s="50">
        <f t="shared" si="48"/>
        <v>0</v>
      </c>
      <c r="W175" s="50">
        <f t="shared" si="49"/>
        <v>0</v>
      </c>
      <c r="X175" s="50">
        <f t="shared" si="50"/>
        <v>0</v>
      </c>
      <c r="Y175" s="50">
        <f t="shared" si="51"/>
        <v>60000</v>
      </c>
      <c r="Z175" s="50">
        <f t="shared" si="52"/>
        <v>12000</v>
      </c>
      <c r="AA175" s="50">
        <f t="shared" si="53"/>
        <v>48000</v>
      </c>
      <c r="AB175" s="50">
        <f t="shared" si="54"/>
        <v>12000</v>
      </c>
      <c r="AC175" s="50">
        <f t="shared" si="55"/>
        <v>36000</v>
      </c>
      <c r="AD175" s="50">
        <f t="shared" si="56"/>
        <v>12000</v>
      </c>
      <c r="AE175" s="50">
        <f t="shared" si="57"/>
        <v>24000</v>
      </c>
      <c r="AF175" s="50">
        <f t="shared" si="58"/>
        <v>12000</v>
      </c>
      <c r="AG175" s="51" t="str">
        <f t="shared" si="59"/>
        <v xml:space="preserve">9 DIESALL </v>
      </c>
      <c r="AH175" s="41"/>
      <c r="AI175" s="51" t="s">
        <v>487</v>
      </c>
      <c r="AJ175" s="51" t="s">
        <v>488</v>
      </c>
    </row>
    <row r="176" spans="1:36" ht="15.95" customHeight="1">
      <c r="A176" s="101" t="s">
        <v>565</v>
      </c>
      <c r="B176" s="110" t="s">
        <v>200</v>
      </c>
      <c r="C176" s="102" t="s">
        <v>566</v>
      </c>
      <c r="D176" s="103" t="s">
        <v>567</v>
      </c>
      <c r="E176" s="104" t="s">
        <v>353</v>
      </c>
      <c r="F176" s="101" t="s">
        <v>72</v>
      </c>
      <c r="G176" s="101" t="s">
        <v>486</v>
      </c>
      <c r="H176" s="101">
        <v>2026</v>
      </c>
      <c r="I176" s="105">
        <v>46113</v>
      </c>
      <c r="J176" s="105"/>
      <c r="K176" s="101">
        <v>9</v>
      </c>
      <c r="L176" s="106">
        <v>80000</v>
      </c>
      <c r="M176" s="48">
        <f>+IF(E176="",0,VLOOKUP(E176,[1]Code!J:K,2,0))</f>
        <v>5</v>
      </c>
      <c r="N176" s="49">
        <f t="shared" si="40"/>
        <v>0.2</v>
      </c>
      <c r="O176" s="50">
        <f t="shared" si="41"/>
        <v>0</v>
      </c>
      <c r="P176" s="50">
        <f t="shared" si="42"/>
        <v>0</v>
      </c>
      <c r="Q176" s="50">
        <f t="shared" si="43"/>
        <v>0</v>
      </c>
      <c r="R176" s="50">
        <f t="shared" si="44"/>
        <v>0</v>
      </c>
      <c r="S176" s="50">
        <f t="shared" si="45"/>
        <v>0</v>
      </c>
      <c r="T176" s="50">
        <f t="shared" si="46"/>
        <v>0</v>
      </c>
      <c r="U176" s="50">
        <f t="shared" si="47"/>
        <v>0</v>
      </c>
      <c r="V176" s="50">
        <f t="shared" si="48"/>
        <v>0</v>
      </c>
      <c r="W176" s="50">
        <f t="shared" si="49"/>
        <v>0</v>
      </c>
      <c r="X176" s="50">
        <f t="shared" si="50"/>
        <v>0</v>
      </c>
      <c r="Y176" s="50">
        <f t="shared" si="51"/>
        <v>80000</v>
      </c>
      <c r="Z176" s="50">
        <f t="shared" si="52"/>
        <v>16000</v>
      </c>
      <c r="AA176" s="50">
        <f t="shared" si="53"/>
        <v>64000</v>
      </c>
      <c r="AB176" s="50">
        <f t="shared" si="54"/>
        <v>16000</v>
      </c>
      <c r="AC176" s="50">
        <f t="shared" si="55"/>
        <v>48000</v>
      </c>
      <c r="AD176" s="50">
        <f t="shared" si="56"/>
        <v>16000</v>
      </c>
      <c r="AE176" s="50">
        <f t="shared" si="57"/>
        <v>32000</v>
      </c>
      <c r="AF176" s="50">
        <f t="shared" si="58"/>
        <v>16000</v>
      </c>
      <c r="AG176" s="51" t="str">
        <f t="shared" si="59"/>
        <v xml:space="preserve">9 DIESALL </v>
      </c>
      <c r="AH176" s="41"/>
      <c r="AI176" s="51" t="s">
        <v>487</v>
      </c>
      <c r="AJ176" s="51" t="s">
        <v>488</v>
      </c>
    </row>
    <row r="177" spans="1:36" ht="15.95" customHeight="1">
      <c r="A177" s="101" t="s">
        <v>568</v>
      </c>
      <c r="B177" s="110" t="s">
        <v>217</v>
      </c>
      <c r="C177" s="110" t="s">
        <v>569</v>
      </c>
      <c r="D177" s="74" t="s">
        <v>570</v>
      </c>
      <c r="E177" s="104" t="s">
        <v>119</v>
      </c>
      <c r="F177" s="101" t="s">
        <v>72</v>
      </c>
      <c r="G177" s="101" t="s">
        <v>486</v>
      </c>
      <c r="H177" s="101">
        <v>2026</v>
      </c>
      <c r="I177" s="105" t="s">
        <v>73</v>
      </c>
      <c r="J177" s="105"/>
      <c r="K177" s="101">
        <v>1</v>
      </c>
      <c r="L177" s="106">
        <v>20000</v>
      </c>
      <c r="M177" s="48">
        <f>+IF(E177="",0,VLOOKUP(E177,[1]Code!J:K,2,0))</f>
        <v>8</v>
      </c>
      <c r="N177" s="49">
        <f t="shared" si="40"/>
        <v>0.125</v>
      </c>
      <c r="O177" s="50">
        <f t="shared" si="41"/>
        <v>0</v>
      </c>
      <c r="P177" s="50">
        <f t="shared" si="42"/>
        <v>0</v>
      </c>
      <c r="Q177" s="50">
        <f t="shared" si="43"/>
        <v>0</v>
      </c>
      <c r="R177" s="50">
        <f t="shared" si="44"/>
        <v>0</v>
      </c>
      <c r="S177" s="50">
        <f t="shared" si="45"/>
        <v>0</v>
      </c>
      <c r="T177" s="50">
        <f t="shared" si="46"/>
        <v>0</v>
      </c>
      <c r="U177" s="50">
        <f t="shared" si="47"/>
        <v>0</v>
      </c>
      <c r="V177" s="50">
        <f t="shared" si="48"/>
        <v>0</v>
      </c>
      <c r="W177" s="50">
        <f t="shared" si="49"/>
        <v>0</v>
      </c>
      <c r="X177" s="50">
        <f t="shared" si="50"/>
        <v>0</v>
      </c>
      <c r="Y177" s="50">
        <f t="shared" si="51"/>
        <v>20000</v>
      </c>
      <c r="Z177" s="50">
        <f t="shared" si="52"/>
        <v>2500</v>
      </c>
      <c r="AA177" s="50">
        <f t="shared" si="53"/>
        <v>17500</v>
      </c>
      <c r="AB177" s="50">
        <f t="shared" si="54"/>
        <v>2500</v>
      </c>
      <c r="AC177" s="50">
        <f t="shared" si="55"/>
        <v>15000</v>
      </c>
      <c r="AD177" s="50">
        <f t="shared" si="56"/>
        <v>2500</v>
      </c>
      <c r="AE177" s="50">
        <f t="shared" si="57"/>
        <v>12500</v>
      </c>
      <c r="AF177" s="50">
        <f t="shared" si="58"/>
        <v>2500</v>
      </c>
      <c r="AG177" s="51" t="str">
        <f t="shared" si="59"/>
        <v xml:space="preserve">5 MACHINERY,UTILITIESALL </v>
      </c>
      <c r="AH177" s="41"/>
      <c r="AI177" s="51" t="s">
        <v>487</v>
      </c>
      <c r="AJ177" s="51" t="s">
        <v>488</v>
      </c>
    </row>
    <row r="178" spans="1:36" ht="15.95" customHeight="1">
      <c r="A178" s="101" t="s">
        <v>571</v>
      </c>
      <c r="B178" s="110" t="s">
        <v>572</v>
      </c>
      <c r="C178" s="110" t="s">
        <v>569</v>
      </c>
      <c r="D178" s="103" t="s">
        <v>573</v>
      </c>
      <c r="E178" s="104" t="s">
        <v>119</v>
      </c>
      <c r="F178" s="101" t="s">
        <v>72</v>
      </c>
      <c r="G178" s="101" t="s">
        <v>486</v>
      </c>
      <c r="H178" s="101">
        <v>2026</v>
      </c>
      <c r="I178" s="105" t="s">
        <v>574</v>
      </c>
      <c r="J178" s="105"/>
      <c r="K178" s="101">
        <v>2</v>
      </c>
      <c r="L178" s="106">
        <v>40000</v>
      </c>
      <c r="M178" s="48">
        <f>+IF(E178="",0,VLOOKUP(E178,[1]Code!J:K,2,0))</f>
        <v>8</v>
      </c>
      <c r="N178" s="49">
        <f t="shared" si="40"/>
        <v>0.125</v>
      </c>
      <c r="O178" s="50">
        <f t="shared" si="41"/>
        <v>0</v>
      </c>
      <c r="P178" s="50">
        <f t="shared" si="42"/>
        <v>0</v>
      </c>
      <c r="Q178" s="50">
        <f t="shared" si="43"/>
        <v>0</v>
      </c>
      <c r="R178" s="50">
        <f t="shared" si="44"/>
        <v>0</v>
      </c>
      <c r="S178" s="50">
        <f t="shared" si="45"/>
        <v>0</v>
      </c>
      <c r="T178" s="50">
        <f t="shared" si="46"/>
        <v>0</v>
      </c>
      <c r="U178" s="50">
        <f t="shared" si="47"/>
        <v>0</v>
      </c>
      <c r="V178" s="50">
        <f t="shared" si="48"/>
        <v>0</v>
      </c>
      <c r="W178" s="50">
        <f t="shared" si="49"/>
        <v>0</v>
      </c>
      <c r="X178" s="50">
        <f t="shared" si="50"/>
        <v>0</v>
      </c>
      <c r="Y178" s="50">
        <f t="shared" si="51"/>
        <v>40000</v>
      </c>
      <c r="Z178" s="50">
        <f t="shared" si="52"/>
        <v>5000</v>
      </c>
      <c r="AA178" s="50">
        <f t="shared" si="53"/>
        <v>35000</v>
      </c>
      <c r="AB178" s="50">
        <f t="shared" si="54"/>
        <v>5000</v>
      </c>
      <c r="AC178" s="50">
        <f t="shared" si="55"/>
        <v>30000</v>
      </c>
      <c r="AD178" s="50">
        <f t="shared" si="56"/>
        <v>5000</v>
      </c>
      <c r="AE178" s="50">
        <f t="shared" si="57"/>
        <v>25000</v>
      </c>
      <c r="AF178" s="50">
        <f t="shared" si="58"/>
        <v>5000</v>
      </c>
      <c r="AG178" s="51" t="str">
        <f t="shared" si="59"/>
        <v xml:space="preserve">5 MACHINERY,UTILITIESALL </v>
      </c>
      <c r="AH178" s="41"/>
      <c r="AI178" s="51" t="s">
        <v>487</v>
      </c>
      <c r="AJ178" s="51" t="s">
        <v>488</v>
      </c>
    </row>
    <row r="179" spans="1:36" ht="15.95" customHeight="1">
      <c r="A179" s="101" t="s">
        <v>575</v>
      </c>
      <c r="B179" s="110" t="s">
        <v>281</v>
      </c>
      <c r="C179" s="110" t="s">
        <v>569</v>
      </c>
      <c r="D179" s="74" t="s">
        <v>576</v>
      </c>
      <c r="E179" s="104" t="s">
        <v>119</v>
      </c>
      <c r="F179" s="101" t="s">
        <v>72</v>
      </c>
      <c r="G179" s="101" t="s">
        <v>486</v>
      </c>
      <c r="H179" s="101">
        <v>2026</v>
      </c>
      <c r="I179" s="105" t="s">
        <v>574</v>
      </c>
      <c r="J179" s="105"/>
      <c r="K179" s="101">
        <v>2</v>
      </c>
      <c r="L179" s="106">
        <v>10000</v>
      </c>
      <c r="M179" s="48">
        <f>+IF(E179="",0,VLOOKUP(E179,[1]Code!J:K,2,0))</f>
        <v>8</v>
      </c>
      <c r="N179" s="49">
        <f t="shared" si="40"/>
        <v>0.125</v>
      </c>
      <c r="O179" s="50">
        <f t="shared" si="41"/>
        <v>0</v>
      </c>
      <c r="P179" s="50">
        <f t="shared" si="42"/>
        <v>0</v>
      </c>
      <c r="Q179" s="50">
        <f t="shared" si="43"/>
        <v>0</v>
      </c>
      <c r="R179" s="50">
        <f t="shared" si="44"/>
        <v>0</v>
      </c>
      <c r="S179" s="50">
        <f t="shared" si="45"/>
        <v>0</v>
      </c>
      <c r="T179" s="50">
        <f t="shared" si="46"/>
        <v>0</v>
      </c>
      <c r="U179" s="50">
        <f t="shared" si="47"/>
        <v>0</v>
      </c>
      <c r="V179" s="50">
        <f t="shared" si="48"/>
        <v>0</v>
      </c>
      <c r="W179" s="50">
        <f t="shared" si="49"/>
        <v>0</v>
      </c>
      <c r="X179" s="50">
        <f t="shared" si="50"/>
        <v>0</v>
      </c>
      <c r="Y179" s="50">
        <f t="shared" si="51"/>
        <v>10000</v>
      </c>
      <c r="Z179" s="50">
        <f t="shared" si="52"/>
        <v>1250</v>
      </c>
      <c r="AA179" s="50">
        <f t="shared" si="53"/>
        <v>8750</v>
      </c>
      <c r="AB179" s="50">
        <f t="shared" si="54"/>
        <v>1250</v>
      </c>
      <c r="AC179" s="50">
        <f t="shared" si="55"/>
        <v>7500</v>
      </c>
      <c r="AD179" s="50">
        <f t="shared" si="56"/>
        <v>1250</v>
      </c>
      <c r="AE179" s="50">
        <f t="shared" si="57"/>
        <v>6250</v>
      </c>
      <c r="AF179" s="50">
        <f t="shared" si="58"/>
        <v>1250</v>
      </c>
      <c r="AG179" s="51" t="str">
        <f t="shared" si="59"/>
        <v xml:space="preserve">5 MACHINERY,UTILITIESALL </v>
      </c>
      <c r="AH179" s="41"/>
      <c r="AI179" s="51" t="s">
        <v>487</v>
      </c>
      <c r="AJ179" s="51" t="s">
        <v>488</v>
      </c>
    </row>
    <row r="180" spans="1:36" ht="15.95" customHeight="1">
      <c r="A180" s="101" t="s">
        <v>577</v>
      </c>
      <c r="B180" s="110" t="s">
        <v>293</v>
      </c>
      <c r="C180" s="110" t="s">
        <v>569</v>
      </c>
      <c r="D180" s="103" t="s">
        <v>578</v>
      </c>
      <c r="E180" s="104" t="s">
        <v>119</v>
      </c>
      <c r="F180" s="101" t="s">
        <v>72</v>
      </c>
      <c r="G180" s="101" t="s">
        <v>486</v>
      </c>
      <c r="H180" s="101">
        <v>2026</v>
      </c>
      <c r="I180" s="105" t="s">
        <v>76</v>
      </c>
      <c r="J180" s="105"/>
      <c r="K180" s="101">
        <v>2</v>
      </c>
      <c r="L180" s="106">
        <v>20000</v>
      </c>
      <c r="M180" s="48">
        <f>+IF(E180="",0,VLOOKUP(E180,[1]Code!J:K,2,0))</f>
        <v>8</v>
      </c>
      <c r="N180" s="49">
        <f t="shared" si="40"/>
        <v>0.125</v>
      </c>
      <c r="O180" s="50">
        <f t="shared" si="41"/>
        <v>0</v>
      </c>
      <c r="P180" s="50">
        <f t="shared" si="42"/>
        <v>0</v>
      </c>
      <c r="Q180" s="50">
        <f t="shared" si="43"/>
        <v>0</v>
      </c>
      <c r="R180" s="50">
        <f t="shared" si="44"/>
        <v>0</v>
      </c>
      <c r="S180" s="50">
        <f t="shared" si="45"/>
        <v>0</v>
      </c>
      <c r="T180" s="50">
        <f t="shared" si="46"/>
        <v>0</v>
      </c>
      <c r="U180" s="50">
        <f t="shared" si="47"/>
        <v>0</v>
      </c>
      <c r="V180" s="50">
        <f t="shared" si="48"/>
        <v>0</v>
      </c>
      <c r="W180" s="50">
        <f t="shared" si="49"/>
        <v>0</v>
      </c>
      <c r="X180" s="50">
        <f t="shared" si="50"/>
        <v>0</v>
      </c>
      <c r="Y180" s="50">
        <f t="shared" si="51"/>
        <v>20000</v>
      </c>
      <c r="Z180" s="50">
        <f t="shared" si="52"/>
        <v>2500</v>
      </c>
      <c r="AA180" s="50">
        <f t="shared" si="53"/>
        <v>17500</v>
      </c>
      <c r="AB180" s="50">
        <f t="shared" si="54"/>
        <v>2500</v>
      </c>
      <c r="AC180" s="50">
        <f t="shared" si="55"/>
        <v>15000</v>
      </c>
      <c r="AD180" s="50">
        <f t="shared" si="56"/>
        <v>2500</v>
      </c>
      <c r="AE180" s="50">
        <f t="shared" si="57"/>
        <v>12500</v>
      </c>
      <c r="AF180" s="50">
        <f t="shared" si="58"/>
        <v>2500</v>
      </c>
      <c r="AG180" s="51" t="str">
        <f t="shared" si="59"/>
        <v xml:space="preserve">5 MACHINERY,UTILITIESALL </v>
      </c>
      <c r="AH180" s="41"/>
      <c r="AI180" s="51" t="s">
        <v>487</v>
      </c>
      <c r="AJ180" s="51" t="s">
        <v>488</v>
      </c>
    </row>
    <row r="181" spans="1:36" ht="15.95" customHeight="1">
      <c r="A181" s="101" t="s">
        <v>579</v>
      </c>
      <c r="B181" s="112" t="s">
        <v>293</v>
      </c>
      <c r="C181" s="112" t="s">
        <v>569</v>
      </c>
      <c r="D181" s="103" t="s">
        <v>580</v>
      </c>
      <c r="E181" s="104" t="s">
        <v>119</v>
      </c>
      <c r="F181" s="101" t="s">
        <v>72</v>
      </c>
      <c r="G181" s="101" t="s">
        <v>486</v>
      </c>
      <c r="H181" s="113">
        <v>2026</v>
      </c>
      <c r="I181" s="114" t="s">
        <v>76</v>
      </c>
      <c r="J181" s="105"/>
      <c r="K181" s="113">
        <v>1</v>
      </c>
      <c r="L181" s="107">
        <v>5000</v>
      </c>
      <c r="M181" s="48">
        <f>+IF(E181="",0,VLOOKUP(E181,[1]Code!J:K,2,0))</f>
        <v>8</v>
      </c>
      <c r="N181" s="49">
        <f t="shared" si="40"/>
        <v>0.125</v>
      </c>
      <c r="O181" s="50">
        <f t="shared" si="41"/>
        <v>0</v>
      </c>
      <c r="P181" s="50">
        <f t="shared" si="42"/>
        <v>0</v>
      </c>
      <c r="Q181" s="50">
        <f t="shared" si="43"/>
        <v>0</v>
      </c>
      <c r="R181" s="50">
        <f t="shared" si="44"/>
        <v>0</v>
      </c>
      <c r="S181" s="50">
        <f t="shared" si="45"/>
        <v>0</v>
      </c>
      <c r="T181" s="50">
        <f t="shared" si="46"/>
        <v>0</v>
      </c>
      <c r="U181" s="50">
        <f t="shared" si="47"/>
        <v>0</v>
      </c>
      <c r="V181" s="50">
        <f t="shared" si="48"/>
        <v>0</v>
      </c>
      <c r="W181" s="50">
        <f t="shared" si="49"/>
        <v>0</v>
      </c>
      <c r="X181" s="50">
        <f t="shared" si="50"/>
        <v>0</v>
      </c>
      <c r="Y181" s="50">
        <f t="shared" si="51"/>
        <v>5000</v>
      </c>
      <c r="Z181" s="50">
        <f t="shared" si="52"/>
        <v>625</v>
      </c>
      <c r="AA181" s="50">
        <f t="shared" si="53"/>
        <v>4375</v>
      </c>
      <c r="AB181" s="50">
        <f t="shared" si="54"/>
        <v>625</v>
      </c>
      <c r="AC181" s="50">
        <f t="shared" si="55"/>
        <v>3750</v>
      </c>
      <c r="AD181" s="50">
        <f t="shared" si="56"/>
        <v>625</v>
      </c>
      <c r="AE181" s="50">
        <f t="shared" si="57"/>
        <v>3125</v>
      </c>
      <c r="AF181" s="50">
        <f t="shared" si="58"/>
        <v>625</v>
      </c>
      <c r="AG181" s="51" t="str">
        <f t="shared" si="59"/>
        <v xml:space="preserve">5 MACHINERY,UTILITIESALL </v>
      </c>
      <c r="AH181" s="41"/>
      <c r="AI181" s="51" t="s">
        <v>487</v>
      </c>
      <c r="AJ181" s="51" t="s">
        <v>488</v>
      </c>
    </row>
    <row r="182" spans="1:36" ht="15.95" customHeight="1">
      <c r="A182" s="101" t="s">
        <v>581</v>
      </c>
      <c r="B182" s="110" t="s">
        <v>225</v>
      </c>
      <c r="C182" s="110" t="s">
        <v>569</v>
      </c>
      <c r="D182" s="103" t="s">
        <v>582</v>
      </c>
      <c r="E182" s="104" t="s">
        <v>119</v>
      </c>
      <c r="F182" s="101" t="s">
        <v>72</v>
      </c>
      <c r="G182" s="101" t="s">
        <v>486</v>
      </c>
      <c r="H182" s="101">
        <v>2026</v>
      </c>
      <c r="I182" s="105" t="s">
        <v>76</v>
      </c>
      <c r="J182" s="105"/>
      <c r="K182" s="101">
        <v>1</v>
      </c>
      <c r="L182" s="106">
        <v>20000</v>
      </c>
      <c r="M182" s="48">
        <f>+IF(E182="",0,VLOOKUP(E182,[1]Code!J:K,2,0))</f>
        <v>8</v>
      </c>
      <c r="N182" s="49">
        <f t="shared" si="40"/>
        <v>0.125</v>
      </c>
      <c r="O182" s="50">
        <f t="shared" si="41"/>
        <v>0</v>
      </c>
      <c r="P182" s="50">
        <f t="shared" si="42"/>
        <v>0</v>
      </c>
      <c r="Q182" s="50">
        <f t="shared" si="43"/>
        <v>0</v>
      </c>
      <c r="R182" s="50">
        <f t="shared" si="44"/>
        <v>0</v>
      </c>
      <c r="S182" s="50">
        <f t="shared" si="45"/>
        <v>0</v>
      </c>
      <c r="T182" s="50">
        <f t="shared" si="46"/>
        <v>0</v>
      </c>
      <c r="U182" s="50">
        <f t="shared" si="47"/>
        <v>0</v>
      </c>
      <c r="V182" s="50">
        <f t="shared" si="48"/>
        <v>0</v>
      </c>
      <c r="W182" s="50">
        <f t="shared" si="49"/>
        <v>0</v>
      </c>
      <c r="X182" s="50">
        <f t="shared" si="50"/>
        <v>0</v>
      </c>
      <c r="Y182" s="50">
        <f t="shared" si="51"/>
        <v>20000</v>
      </c>
      <c r="Z182" s="50">
        <f t="shared" si="52"/>
        <v>2500</v>
      </c>
      <c r="AA182" s="50">
        <f t="shared" si="53"/>
        <v>17500</v>
      </c>
      <c r="AB182" s="50">
        <f t="shared" si="54"/>
        <v>2500</v>
      </c>
      <c r="AC182" s="50">
        <f t="shared" si="55"/>
        <v>15000</v>
      </c>
      <c r="AD182" s="50">
        <f t="shared" si="56"/>
        <v>2500</v>
      </c>
      <c r="AE182" s="50">
        <f t="shared" si="57"/>
        <v>12500</v>
      </c>
      <c r="AF182" s="50">
        <f t="shared" si="58"/>
        <v>2500</v>
      </c>
      <c r="AG182" s="51" t="str">
        <f t="shared" si="59"/>
        <v xml:space="preserve">5 MACHINERY,UTILITIESALL </v>
      </c>
      <c r="AH182" s="41"/>
      <c r="AI182" s="51" t="s">
        <v>487</v>
      </c>
      <c r="AJ182" s="51" t="s">
        <v>488</v>
      </c>
    </row>
    <row r="183" spans="1:36" ht="15.95" customHeight="1">
      <c r="A183" s="101" t="s">
        <v>583</v>
      </c>
      <c r="B183" s="110" t="s">
        <v>293</v>
      </c>
      <c r="C183" s="110" t="s">
        <v>502</v>
      </c>
      <c r="D183" s="74" t="s">
        <v>584</v>
      </c>
      <c r="E183" s="104" t="s">
        <v>119</v>
      </c>
      <c r="F183" s="101" t="s">
        <v>72</v>
      </c>
      <c r="G183" s="101" t="s">
        <v>486</v>
      </c>
      <c r="H183" s="101">
        <v>2026</v>
      </c>
      <c r="I183" s="105" t="s">
        <v>329</v>
      </c>
      <c r="J183" s="105"/>
      <c r="K183" s="101">
        <v>1</v>
      </c>
      <c r="L183" s="106">
        <v>20000</v>
      </c>
      <c r="M183" s="48">
        <f>+IF(E183="",0,VLOOKUP(E183,[1]Code!J:K,2,0))</f>
        <v>8</v>
      </c>
      <c r="N183" s="49">
        <f t="shared" si="40"/>
        <v>0.125</v>
      </c>
      <c r="O183" s="50">
        <f t="shared" si="41"/>
        <v>0</v>
      </c>
      <c r="P183" s="50">
        <f t="shared" si="42"/>
        <v>0</v>
      </c>
      <c r="Q183" s="50">
        <f t="shared" si="43"/>
        <v>0</v>
      </c>
      <c r="R183" s="50">
        <f t="shared" si="44"/>
        <v>0</v>
      </c>
      <c r="S183" s="50">
        <f t="shared" si="45"/>
        <v>0</v>
      </c>
      <c r="T183" s="50">
        <f t="shared" si="46"/>
        <v>0</v>
      </c>
      <c r="U183" s="50">
        <f t="shared" si="47"/>
        <v>0</v>
      </c>
      <c r="V183" s="50">
        <f t="shared" si="48"/>
        <v>0</v>
      </c>
      <c r="W183" s="50">
        <f t="shared" si="49"/>
        <v>0</v>
      </c>
      <c r="X183" s="50">
        <f t="shared" si="50"/>
        <v>0</v>
      </c>
      <c r="Y183" s="50">
        <f t="shared" si="51"/>
        <v>20000</v>
      </c>
      <c r="Z183" s="50">
        <f t="shared" si="52"/>
        <v>2500</v>
      </c>
      <c r="AA183" s="50">
        <f t="shared" si="53"/>
        <v>17500</v>
      </c>
      <c r="AB183" s="50">
        <f t="shared" si="54"/>
        <v>2500</v>
      </c>
      <c r="AC183" s="50">
        <f t="shared" si="55"/>
        <v>15000</v>
      </c>
      <c r="AD183" s="50">
        <f t="shared" si="56"/>
        <v>2500</v>
      </c>
      <c r="AE183" s="50">
        <f t="shared" si="57"/>
        <v>12500</v>
      </c>
      <c r="AF183" s="50">
        <f t="shared" si="58"/>
        <v>2500</v>
      </c>
      <c r="AG183" s="51" t="str">
        <f t="shared" si="59"/>
        <v xml:space="preserve">5 MACHINERY,UTILITIESALL </v>
      </c>
      <c r="AH183" s="41"/>
      <c r="AI183" s="51" t="s">
        <v>487</v>
      </c>
      <c r="AJ183" s="51" t="s">
        <v>488</v>
      </c>
    </row>
    <row r="184" spans="1:36" ht="15.95" customHeight="1">
      <c r="A184" s="101" t="s">
        <v>585</v>
      </c>
      <c r="B184" s="110" t="s">
        <v>281</v>
      </c>
      <c r="C184" s="110" t="s">
        <v>569</v>
      </c>
      <c r="D184" s="74" t="s">
        <v>586</v>
      </c>
      <c r="E184" s="104" t="s">
        <v>119</v>
      </c>
      <c r="F184" s="101" t="s">
        <v>72</v>
      </c>
      <c r="G184" s="101" t="s">
        <v>486</v>
      </c>
      <c r="H184" s="101">
        <v>2026</v>
      </c>
      <c r="I184" s="105" t="s">
        <v>76</v>
      </c>
      <c r="J184" s="105"/>
      <c r="K184" s="101">
        <v>1</v>
      </c>
      <c r="L184" s="106">
        <v>10000</v>
      </c>
      <c r="M184" s="48">
        <f>+IF(E184="",0,VLOOKUP(E184,[1]Code!J:K,2,0))</f>
        <v>8</v>
      </c>
      <c r="N184" s="49">
        <f t="shared" si="40"/>
        <v>0.125</v>
      </c>
      <c r="O184" s="50">
        <f t="shared" si="41"/>
        <v>0</v>
      </c>
      <c r="P184" s="50">
        <f t="shared" si="42"/>
        <v>0</v>
      </c>
      <c r="Q184" s="50">
        <f t="shared" si="43"/>
        <v>0</v>
      </c>
      <c r="R184" s="50">
        <f t="shared" si="44"/>
        <v>0</v>
      </c>
      <c r="S184" s="50">
        <f t="shared" si="45"/>
        <v>0</v>
      </c>
      <c r="T184" s="50">
        <f t="shared" si="46"/>
        <v>0</v>
      </c>
      <c r="U184" s="50">
        <f t="shared" si="47"/>
        <v>0</v>
      </c>
      <c r="V184" s="50">
        <f t="shared" si="48"/>
        <v>0</v>
      </c>
      <c r="W184" s="50">
        <f t="shared" si="49"/>
        <v>0</v>
      </c>
      <c r="X184" s="50">
        <f t="shared" si="50"/>
        <v>0</v>
      </c>
      <c r="Y184" s="50">
        <f t="shared" si="51"/>
        <v>10000</v>
      </c>
      <c r="Z184" s="50">
        <f t="shared" si="52"/>
        <v>1250</v>
      </c>
      <c r="AA184" s="50">
        <f t="shared" si="53"/>
        <v>8750</v>
      </c>
      <c r="AB184" s="50">
        <f t="shared" si="54"/>
        <v>1250</v>
      </c>
      <c r="AC184" s="50">
        <f t="shared" si="55"/>
        <v>7500</v>
      </c>
      <c r="AD184" s="50">
        <f t="shared" si="56"/>
        <v>1250</v>
      </c>
      <c r="AE184" s="50">
        <f t="shared" si="57"/>
        <v>6250</v>
      </c>
      <c r="AF184" s="50">
        <f t="shared" si="58"/>
        <v>1250</v>
      </c>
      <c r="AG184" s="51" t="str">
        <f t="shared" si="59"/>
        <v xml:space="preserve">5 MACHINERY,UTILITIESALL </v>
      </c>
      <c r="AH184" s="41"/>
      <c r="AI184" s="51" t="s">
        <v>487</v>
      </c>
      <c r="AJ184" s="51" t="s">
        <v>488</v>
      </c>
    </row>
    <row r="185" spans="1:36" ht="15.95" customHeight="1">
      <c r="A185" s="101" t="s">
        <v>587</v>
      </c>
      <c r="B185" s="112" t="s">
        <v>293</v>
      </c>
      <c r="C185" s="112" t="s">
        <v>569</v>
      </c>
      <c r="D185" s="103" t="s">
        <v>588</v>
      </c>
      <c r="E185" s="111" t="s">
        <v>119</v>
      </c>
      <c r="F185" s="113" t="s">
        <v>72</v>
      </c>
      <c r="G185" s="113" t="s">
        <v>486</v>
      </c>
      <c r="H185" s="113">
        <v>2026</v>
      </c>
      <c r="I185" s="114" t="s">
        <v>203</v>
      </c>
      <c r="J185" s="114"/>
      <c r="K185" s="113">
        <v>4</v>
      </c>
      <c r="L185" s="107">
        <v>80000</v>
      </c>
      <c r="M185" s="48">
        <f>+IF(E185="",0,VLOOKUP(E185,[1]Code!J:K,2,0))</f>
        <v>8</v>
      </c>
      <c r="N185" s="49">
        <f t="shared" si="40"/>
        <v>0.125</v>
      </c>
      <c r="O185" s="50">
        <f t="shared" si="41"/>
        <v>0</v>
      </c>
      <c r="P185" s="50">
        <f t="shared" si="42"/>
        <v>0</v>
      </c>
      <c r="Q185" s="50">
        <f t="shared" si="43"/>
        <v>0</v>
      </c>
      <c r="R185" s="50">
        <f t="shared" si="44"/>
        <v>0</v>
      </c>
      <c r="S185" s="50">
        <f t="shared" si="45"/>
        <v>0</v>
      </c>
      <c r="T185" s="50">
        <f t="shared" si="46"/>
        <v>0</v>
      </c>
      <c r="U185" s="50">
        <f t="shared" si="47"/>
        <v>0</v>
      </c>
      <c r="V185" s="50">
        <f t="shared" si="48"/>
        <v>0</v>
      </c>
      <c r="W185" s="50">
        <f t="shared" si="49"/>
        <v>0</v>
      </c>
      <c r="X185" s="50">
        <f t="shared" si="50"/>
        <v>0</v>
      </c>
      <c r="Y185" s="50">
        <f t="shared" si="51"/>
        <v>80000</v>
      </c>
      <c r="Z185" s="50">
        <f t="shared" si="52"/>
        <v>10000</v>
      </c>
      <c r="AA185" s="50">
        <f t="shared" si="53"/>
        <v>70000</v>
      </c>
      <c r="AB185" s="50">
        <f t="shared" si="54"/>
        <v>10000</v>
      </c>
      <c r="AC185" s="50">
        <f t="shared" si="55"/>
        <v>60000</v>
      </c>
      <c r="AD185" s="50">
        <f t="shared" si="56"/>
        <v>10000</v>
      </c>
      <c r="AE185" s="50">
        <f t="shared" si="57"/>
        <v>50000</v>
      </c>
      <c r="AF185" s="50">
        <f t="shared" si="58"/>
        <v>10000</v>
      </c>
      <c r="AG185" s="51" t="str">
        <f t="shared" si="59"/>
        <v xml:space="preserve">5 MACHINERY,UTILITIESALL </v>
      </c>
      <c r="AH185" s="41"/>
      <c r="AI185" s="51" t="s">
        <v>487</v>
      </c>
      <c r="AJ185" s="51" t="s">
        <v>488</v>
      </c>
    </row>
    <row r="186" spans="1:36" ht="15.95" customHeight="1">
      <c r="A186" s="101" t="s">
        <v>589</v>
      </c>
      <c r="B186" s="110" t="s">
        <v>217</v>
      </c>
      <c r="C186" s="110" t="s">
        <v>569</v>
      </c>
      <c r="D186" s="74" t="s">
        <v>590</v>
      </c>
      <c r="E186" s="104" t="s">
        <v>119</v>
      </c>
      <c r="F186" s="101" t="s">
        <v>72</v>
      </c>
      <c r="G186" s="101" t="s">
        <v>486</v>
      </c>
      <c r="H186" s="101">
        <v>2026</v>
      </c>
      <c r="I186" s="105" t="s">
        <v>329</v>
      </c>
      <c r="J186" s="105"/>
      <c r="K186" s="101">
        <v>6</v>
      </c>
      <c r="L186" s="106">
        <v>5000</v>
      </c>
      <c r="M186" s="48">
        <f>+IF(E186="",0,VLOOKUP(E186,[1]Code!J:K,2,0))</f>
        <v>8</v>
      </c>
      <c r="N186" s="49">
        <f t="shared" si="40"/>
        <v>0.125</v>
      </c>
      <c r="O186" s="50">
        <f t="shared" si="41"/>
        <v>0</v>
      </c>
      <c r="P186" s="50">
        <f t="shared" si="42"/>
        <v>0</v>
      </c>
      <c r="Q186" s="50">
        <f t="shared" si="43"/>
        <v>0</v>
      </c>
      <c r="R186" s="50">
        <f t="shared" si="44"/>
        <v>0</v>
      </c>
      <c r="S186" s="50">
        <f t="shared" si="45"/>
        <v>0</v>
      </c>
      <c r="T186" s="50">
        <f t="shared" si="46"/>
        <v>0</v>
      </c>
      <c r="U186" s="50">
        <f t="shared" si="47"/>
        <v>0</v>
      </c>
      <c r="V186" s="50">
        <f t="shared" si="48"/>
        <v>0</v>
      </c>
      <c r="W186" s="50">
        <f t="shared" si="49"/>
        <v>0</v>
      </c>
      <c r="X186" s="50">
        <f t="shared" si="50"/>
        <v>0</v>
      </c>
      <c r="Y186" s="50">
        <f t="shared" si="51"/>
        <v>5000</v>
      </c>
      <c r="Z186" s="50">
        <f t="shared" si="52"/>
        <v>625</v>
      </c>
      <c r="AA186" s="50">
        <f t="shared" si="53"/>
        <v>4375</v>
      </c>
      <c r="AB186" s="50">
        <f t="shared" si="54"/>
        <v>625</v>
      </c>
      <c r="AC186" s="50">
        <f t="shared" si="55"/>
        <v>3750</v>
      </c>
      <c r="AD186" s="50">
        <f t="shared" si="56"/>
        <v>625</v>
      </c>
      <c r="AE186" s="50">
        <f t="shared" si="57"/>
        <v>3125</v>
      </c>
      <c r="AF186" s="50">
        <f t="shared" si="58"/>
        <v>625</v>
      </c>
      <c r="AG186" s="51" t="str">
        <f t="shared" si="59"/>
        <v xml:space="preserve">5 MACHINERY,UTILITIESALL </v>
      </c>
      <c r="AH186" s="41"/>
      <c r="AI186" s="51" t="s">
        <v>487</v>
      </c>
      <c r="AJ186" s="51" t="s">
        <v>488</v>
      </c>
    </row>
    <row r="187" spans="1:36" ht="15.95" customHeight="1">
      <c r="A187" s="101" t="s">
        <v>591</v>
      </c>
      <c r="B187" s="110" t="s">
        <v>277</v>
      </c>
      <c r="C187" s="110" t="s">
        <v>569</v>
      </c>
      <c r="D187" s="74" t="s">
        <v>592</v>
      </c>
      <c r="E187" s="104" t="s">
        <v>119</v>
      </c>
      <c r="F187" s="101" t="s">
        <v>72</v>
      </c>
      <c r="G187" s="101" t="s">
        <v>486</v>
      </c>
      <c r="H187" s="101">
        <v>2026</v>
      </c>
      <c r="I187" s="105" t="s">
        <v>203</v>
      </c>
      <c r="J187" s="105"/>
      <c r="K187" s="101">
        <v>1</v>
      </c>
      <c r="L187" s="106">
        <v>10000</v>
      </c>
      <c r="M187" s="48">
        <f>+IF(E187="",0,VLOOKUP(E187,[1]Code!J:K,2,0))</f>
        <v>8</v>
      </c>
      <c r="N187" s="49">
        <f t="shared" si="40"/>
        <v>0.125</v>
      </c>
      <c r="O187" s="50">
        <f t="shared" si="41"/>
        <v>0</v>
      </c>
      <c r="P187" s="50">
        <f t="shared" si="42"/>
        <v>0</v>
      </c>
      <c r="Q187" s="50">
        <f t="shared" si="43"/>
        <v>0</v>
      </c>
      <c r="R187" s="50">
        <f t="shared" si="44"/>
        <v>0</v>
      </c>
      <c r="S187" s="50">
        <f t="shared" si="45"/>
        <v>0</v>
      </c>
      <c r="T187" s="50">
        <f t="shared" si="46"/>
        <v>0</v>
      </c>
      <c r="U187" s="50">
        <f t="shared" si="47"/>
        <v>0</v>
      </c>
      <c r="V187" s="50">
        <f t="shared" si="48"/>
        <v>0</v>
      </c>
      <c r="W187" s="50">
        <f t="shared" si="49"/>
        <v>0</v>
      </c>
      <c r="X187" s="50">
        <f t="shared" si="50"/>
        <v>0</v>
      </c>
      <c r="Y187" s="50">
        <f t="shared" si="51"/>
        <v>10000</v>
      </c>
      <c r="Z187" s="50">
        <f t="shared" si="52"/>
        <v>1250</v>
      </c>
      <c r="AA187" s="50">
        <f t="shared" si="53"/>
        <v>8750</v>
      </c>
      <c r="AB187" s="50">
        <f t="shared" si="54"/>
        <v>1250</v>
      </c>
      <c r="AC187" s="50">
        <f t="shared" si="55"/>
        <v>7500</v>
      </c>
      <c r="AD187" s="50">
        <f t="shared" si="56"/>
        <v>1250</v>
      </c>
      <c r="AE187" s="50">
        <f t="shared" si="57"/>
        <v>6250</v>
      </c>
      <c r="AF187" s="50">
        <f t="shared" si="58"/>
        <v>1250</v>
      </c>
      <c r="AG187" s="51" t="str">
        <f t="shared" si="59"/>
        <v xml:space="preserve">5 MACHINERY,UTILITIESALL </v>
      </c>
      <c r="AH187" s="41"/>
      <c r="AI187" s="51" t="s">
        <v>487</v>
      </c>
      <c r="AJ187" s="51" t="s">
        <v>488</v>
      </c>
    </row>
    <row r="188" spans="1:36" ht="15.95" customHeight="1">
      <c r="A188" s="101" t="s">
        <v>593</v>
      </c>
      <c r="B188" s="110" t="s">
        <v>281</v>
      </c>
      <c r="C188" s="110" t="s">
        <v>569</v>
      </c>
      <c r="D188" s="74" t="s">
        <v>594</v>
      </c>
      <c r="E188" s="104" t="s">
        <v>119</v>
      </c>
      <c r="F188" s="101" t="s">
        <v>72</v>
      </c>
      <c r="G188" s="101" t="s">
        <v>486</v>
      </c>
      <c r="H188" s="101">
        <v>2026</v>
      </c>
      <c r="I188" s="105" t="s">
        <v>549</v>
      </c>
      <c r="J188" s="105"/>
      <c r="K188" s="101">
        <v>1</v>
      </c>
      <c r="L188" s="106">
        <v>15000</v>
      </c>
      <c r="M188" s="48">
        <f>+IF(E188="",0,VLOOKUP(E188,[1]Code!J:K,2,0))</f>
        <v>8</v>
      </c>
      <c r="N188" s="49">
        <f t="shared" si="40"/>
        <v>0.125</v>
      </c>
      <c r="O188" s="50">
        <f t="shared" si="41"/>
        <v>0</v>
      </c>
      <c r="P188" s="50">
        <f t="shared" si="42"/>
        <v>0</v>
      </c>
      <c r="Q188" s="50">
        <f t="shared" si="43"/>
        <v>0</v>
      </c>
      <c r="R188" s="50">
        <f t="shared" si="44"/>
        <v>0</v>
      </c>
      <c r="S188" s="50">
        <f t="shared" si="45"/>
        <v>0</v>
      </c>
      <c r="T188" s="50">
        <f t="shared" si="46"/>
        <v>0</v>
      </c>
      <c r="U188" s="50">
        <f t="shared" si="47"/>
        <v>0</v>
      </c>
      <c r="V188" s="50">
        <f t="shared" si="48"/>
        <v>0</v>
      </c>
      <c r="W188" s="50">
        <f t="shared" si="49"/>
        <v>0</v>
      </c>
      <c r="X188" s="50">
        <f t="shared" si="50"/>
        <v>0</v>
      </c>
      <c r="Y188" s="50">
        <f t="shared" si="51"/>
        <v>15000</v>
      </c>
      <c r="Z188" s="50">
        <f t="shared" si="52"/>
        <v>1875</v>
      </c>
      <c r="AA188" s="50">
        <f t="shared" si="53"/>
        <v>13125</v>
      </c>
      <c r="AB188" s="50">
        <f t="shared" si="54"/>
        <v>1875</v>
      </c>
      <c r="AC188" s="50">
        <f t="shared" si="55"/>
        <v>11250</v>
      </c>
      <c r="AD188" s="50">
        <f t="shared" si="56"/>
        <v>1875</v>
      </c>
      <c r="AE188" s="50">
        <f t="shared" si="57"/>
        <v>9375</v>
      </c>
      <c r="AF188" s="50">
        <f t="shared" si="58"/>
        <v>1875</v>
      </c>
      <c r="AG188" s="51" t="str">
        <f t="shared" si="59"/>
        <v xml:space="preserve">5 MACHINERY,UTILITIESALL </v>
      </c>
      <c r="AH188" s="41"/>
      <c r="AI188" s="51" t="s">
        <v>487</v>
      </c>
      <c r="AJ188" s="51" t="s">
        <v>488</v>
      </c>
    </row>
    <row r="189" spans="1:36" ht="15.95" customHeight="1">
      <c r="A189" s="101" t="s">
        <v>595</v>
      </c>
      <c r="B189" s="110" t="s">
        <v>293</v>
      </c>
      <c r="C189" s="110" t="s">
        <v>569</v>
      </c>
      <c r="D189" s="74" t="s">
        <v>596</v>
      </c>
      <c r="E189" s="104" t="s">
        <v>119</v>
      </c>
      <c r="F189" s="101" t="s">
        <v>72</v>
      </c>
      <c r="G189" s="101" t="s">
        <v>486</v>
      </c>
      <c r="H189" s="101">
        <v>2026</v>
      </c>
      <c r="I189" s="105" t="s">
        <v>67</v>
      </c>
      <c r="J189" s="105"/>
      <c r="K189" s="101">
        <v>2</v>
      </c>
      <c r="L189" s="106">
        <v>5000</v>
      </c>
      <c r="M189" s="48">
        <f>+IF(E189="",0,VLOOKUP(E189,[1]Code!J:K,2,0))</f>
        <v>8</v>
      </c>
      <c r="N189" s="49">
        <f t="shared" si="40"/>
        <v>0.125</v>
      </c>
      <c r="O189" s="50">
        <f t="shared" si="41"/>
        <v>0</v>
      </c>
      <c r="P189" s="50">
        <f t="shared" si="42"/>
        <v>0</v>
      </c>
      <c r="Q189" s="50">
        <f t="shared" si="43"/>
        <v>0</v>
      </c>
      <c r="R189" s="50">
        <f t="shared" si="44"/>
        <v>0</v>
      </c>
      <c r="S189" s="50">
        <f t="shared" si="45"/>
        <v>0</v>
      </c>
      <c r="T189" s="50">
        <f t="shared" si="46"/>
        <v>0</v>
      </c>
      <c r="U189" s="50">
        <f t="shared" si="47"/>
        <v>0</v>
      </c>
      <c r="V189" s="50">
        <f t="shared" si="48"/>
        <v>0</v>
      </c>
      <c r="W189" s="50">
        <f t="shared" si="49"/>
        <v>0</v>
      </c>
      <c r="X189" s="50">
        <f t="shared" si="50"/>
        <v>0</v>
      </c>
      <c r="Y189" s="50">
        <f t="shared" si="51"/>
        <v>5000</v>
      </c>
      <c r="Z189" s="50">
        <f t="shared" si="52"/>
        <v>625</v>
      </c>
      <c r="AA189" s="50">
        <f t="shared" si="53"/>
        <v>4375</v>
      </c>
      <c r="AB189" s="50">
        <f t="shared" si="54"/>
        <v>625</v>
      </c>
      <c r="AC189" s="50">
        <f t="shared" si="55"/>
        <v>3750</v>
      </c>
      <c r="AD189" s="50">
        <f t="shared" si="56"/>
        <v>625</v>
      </c>
      <c r="AE189" s="50">
        <f t="shared" si="57"/>
        <v>3125</v>
      </c>
      <c r="AF189" s="50">
        <f t="shared" si="58"/>
        <v>625</v>
      </c>
      <c r="AG189" s="51" t="str">
        <f t="shared" si="59"/>
        <v xml:space="preserve">5 MACHINERY,UTILITIESALL </v>
      </c>
      <c r="AH189" s="41"/>
      <c r="AI189" s="51" t="s">
        <v>487</v>
      </c>
      <c r="AJ189" s="51" t="s">
        <v>488</v>
      </c>
    </row>
    <row r="190" spans="1:36" ht="15.95" customHeight="1">
      <c r="A190" s="101" t="s">
        <v>597</v>
      </c>
      <c r="B190" s="110" t="s">
        <v>293</v>
      </c>
      <c r="C190" s="110" t="s">
        <v>569</v>
      </c>
      <c r="D190" s="74" t="s">
        <v>598</v>
      </c>
      <c r="E190" s="104" t="s">
        <v>119</v>
      </c>
      <c r="F190" s="101" t="s">
        <v>72</v>
      </c>
      <c r="G190" s="101" t="s">
        <v>486</v>
      </c>
      <c r="H190" s="101">
        <v>2026</v>
      </c>
      <c r="I190" s="105" t="s">
        <v>67</v>
      </c>
      <c r="J190" s="105"/>
      <c r="K190" s="101">
        <v>1</v>
      </c>
      <c r="L190" s="106">
        <v>5000</v>
      </c>
      <c r="M190" s="48">
        <f>+IF(E190="",0,VLOOKUP(E190,[1]Code!J:K,2,0))</f>
        <v>8</v>
      </c>
      <c r="N190" s="49">
        <f t="shared" si="40"/>
        <v>0.125</v>
      </c>
      <c r="O190" s="50">
        <f t="shared" si="41"/>
        <v>0</v>
      </c>
      <c r="P190" s="50">
        <f t="shared" si="42"/>
        <v>0</v>
      </c>
      <c r="Q190" s="50">
        <f t="shared" si="43"/>
        <v>0</v>
      </c>
      <c r="R190" s="50">
        <f t="shared" si="44"/>
        <v>0</v>
      </c>
      <c r="S190" s="50">
        <f t="shared" si="45"/>
        <v>0</v>
      </c>
      <c r="T190" s="50">
        <f t="shared" si="46"/>
        <v>0</v>
      </c>
      <c r="U190" s="50">
        <f t="shared" si="47"/>
        <v>0</v>
      </c>
      <c r="V190" s="50">
        <f t="shared" si="48"/>
        <v>0</v>
      </c>
      <c r="W190" s="50">
        <f t="shared" si="49"/>
        <v>0</v>
      </c>
      <c r="X190" s="50">
        <f t="shared" si="50"/>
        <v>0</v>
      </c>
      <c r="Y190" s="50">
        <f t="shared" si="51"/>
        <v>5000</v>
      </c>
      <c r="Z190" s="50">
        <f t="shared" si="52"/>
        <v>625</v>
      </c>
      <c r="AA190" s="50">
        <f t="shared" si="53"/>
        <v>4375</v>
      </c>
      <c r="AB190" s="50">
        <f t="shared" si="54"/>
        <v>625</v>
      </c>
      <c r="AC190" s="50">
        <f t="shared" si="55"/>
        <v>3750</v>
      </c>
      <c r="AD190" s="50">
        <f t="shared" si="56"/>
        <v>625</v>
      </c>
      <c r="AE190" s="50">
        <f t="shared" si="57"/>
        <v>3125</v>
      </c>
      <c r="AF190" s="50">
        <f t="shared" si="58"/>
        <v>625</v>
      </c>
      <c r="AG190" s="51" t="str">
        <f t="shared" si="59"/>
        <v xml:space="preserve">5 MACHINERY,UTILITIESALL </v>
      </c>
      <c r="AH190" s="41"/>
      <c r="AI190" s="51" t="s">
        <v>487</v>
      </c>
      <c r="AJ190" s="51" t="s">
        <v>488</v>
      </c>
    </row>
    <row r="191" spans="1:36" ht="15.95" customHeight="1">
      <c r="A191" s="101" t="s">
        <v>599</v>
      </c>
      <c r="B191" s="110" t="s">
        <v>217</v>
      </c>
      <c r="C191" s="110" t="s">
        <v>569</v>
      </c>
      <c r="D191" s="74" t="s">
        <v>600</v>
      </c>
      <c r="E191" s="104" t="s">
        <v>119</v>
      </c>
      <c r="F191" s="101" t="s">
        <v>72</v>
      </c>
      <c r="G191" s="101" t="s">
        <v>486</v>
      </c>
      <c r="H191" s="101">
        <v>2026</v>
      </c>
      <c r="I191" s="105" t="s">
        <v>532</v>
      </c>
      <c r="J191" s="105"/>
      <c r="K191" s="101">
        <v>1</v>
      </c>
      <c r="L191" s="106">
        <v>40000</v>
      </c>
      <c r="M191" s="48">
        <f>+IF(E191="",0,VLOOKUP(E191,[1]Code!J:K,2,0))</f>
        <v>8</v>
      </c>
      <c r="N191" s="49">
        <f t="shared" si="40"/>
        <v>0.125</v>
      </c>
      <c r="O191" s="50">
        <f t="shared" si="41"/>
        <v>0</v>
      </c>
      <c r="P191" s="50">
        <f t="shared" si="42"/>
        <v>0</v>
      </c>
      <c r="Q191" s="50">
        <f t="shared" si="43"/>
        <v>0</v>
      </c>
      <c r="R191" s="50">
        <f t="shared" si="44"/>
        <v>0</v>
      </c>
      <c r="S191" s="50">
        <f t="shared" si="45"/>
        <v>0</v>
      </c>
      <c r="T191" s="50">
        <f t="shared" si="46"/>
        <v>0</v>
      </c>
      <c r="U191" s="50">
        <f t="shared" si="47"/>
        <v>0</v>
      </c>
      <c r="V191" s="50">
        <f t="shared" si="48"/>
        <v>0</v>
      </c>
      <c r="W191" s="50">
        <f t="shared" si="49"/>
        <v>0</v>
      </c>
      <c r="X191" s="50">
        <f t="shared" si="50"/>
        <v>0</v>
      </c>
      <c r="Y191" s="50">
        <f t="shared" si="51"/>
        <v>40000</v>
      </c>
      <c r="Z191" s="50">
        <f t="shared" si="52"/>
        <v>5000</v>
      </c>
      <c r="AA191" s="50">
        <f t="shared" si="53"/>
        <v>35000</v>
      </c>
      <c r="AB191" s="50">
        <f t="shared" si="54"/>
        <v>5000</v>
      </c>
      <c r="AC191" s="50">
        <f t="shared" si="55"/>
        <v>30000</v>
      </c>
      <c r="AD191" s="50">
        <f t="shared" si="56"/>
        <v>5000</v>
      </c>
      <c r="AE191" s="50">
        <f t="shared" si="57"/>
        <v>25000</v>
      </c>
      <c r="AF191" s="50">
        <f t="shared" si="58"/>
        <v>5000</v>
      </c>
      <c r="AG191" s="51" t="str">
        <f t="shared" si="59"/>
        <v xml:space="preserve">5 MACHINERY,UTILITIESALL </v>
      </c>
      <c r="AH191" s="41"/>
      <c r="AI191" s="51" t="s">
        <v>487</v>
      </c>
      <c r="AJ191" s="51" t="s">
        <v>488</v>
      </c>
    </row>
    <row r="192" spans="1:36" ht="15.95" customHeight="1">
      <c r="A192" s="101" t="s">
        <v>601</v>
      </c>
      <c r="B192" s="112" t="s">
        <v>572</v>
      </c>
      <c r="C192" s="112" t="s">
        <v>569</v>
      </c>
      <c r="D192" s="103" t="s">
        <v>602</v>
      </c>
      <c r="E192" s="104" t="s">
        <v>119</v>
      </c>
      <c r="F192" s="101" t="s">
        <v>72</v>
      </c>
      <c r="G192" s="101" t="s">
        <v>486</v>
      </c>
      <c r="H192" s="113">
        <v>2026</v>
      </c>
      <c r="I192" s="114" t="s">
        <v>73</v>
      </c>
      <c r="J192" s="105"/>
      <c r="K192" s="113">
        <v>1</v>
      </c>
      <c r="L192" s="107">
        <v>10000</v>
      </c>
      <c r="M192" s="48">
        <f>+IF(E192="",0,VLOOKUP(E192,[1]Code!J:K,2,0))</f>
        <v>8</v>
      </c>
      <c r="N192" s="49">
        <f t="shared" si="40"/>
        <v>0.125</v>
      </c>
      <c r="O192" s="50">
        <f t="shared" si="41"/>
        <v>0</v>
      </c>
      <c r="P192" s="50">
        <f t="shared" si="42"/>
        <v>0</v>
      </c>
      <c r="Q192" s="50">
        <f t="shared" si="43"/>
        <v>0</v>
      </c>
      <c r="R192" s="50">
        <f t="shared" si="44"/>
        <v>0</v>
      </c>
      <c r="S192" s="50">
        <f t="shared" si="45"/>
        <v>0</v>
      </c>
      <c r="T192" s="50">
        <f t="shared" si="46"/>
        <v>0</v>
      </c>
      <c r="U192" s="50">
        <f t="shared" si="47"/>
        <v>0</v>
      </c>
      <c r="V192" s="50">
        <f t="shared" si="48"/>
        <v>0</v>
      </c>
      <c r="W192" s="50">
        <f t="shared" si="49"/>
        <v>0</v>
      </c>
      <c r="X192" s="50">
        <f t="shared" si="50"/>
        <v>0</v>
      </c>
      <c r="Y192" s="50">
        <f t="shared" si="51"/>
        <v>10000</v>
      </c>
      <c r="Z192" s="50">
        <f t="shared" si="52"/>
        <v>1250</v>
      </c>
      <c r="AA192" s="50">
        <f t="shared" si="53"/>
        <v>8750</v>
      </c>
      <c r="AB192" s="50">
        <f t="shared" si="54"/>
        <v>1250</v>
      </c>
      <c r="AC192" s="50">
        <f t="shared" si="55"/>
        <v>7500</v>
      </c>
      <c r="AD192" s="50">
        <f t="shared" si="56"/>
        <v>1250</v>
      </c>
      <c r="AE192" s="50">
        <f t="shared" si="57"/>
        <v>6250</v>
      </c>
      <c r="AF192" s="50">
        <f t="shared" si="58"/>
        <v>1250</v>
      </c>
      <c r="AG192" s="51" t="str">
        <f t="shared" si="59"/>
        <v xml:space="preserve">5 MACHINERY,UTILITIESALL </v>
      </c>
      <c r="AH192" s="41"/>
      <c r="AI192" s="51" t="s">
        <v>487</v>
      </c>
      <c r="AJ192" s="51" t="s">
        <v>488</v>
      </c>
    </row>
    <row r="193" spans="1:36" ht="15.95" customHeight="1">
      <c r="A193" s="101" t="s">
        <v>603</v>
      </c>
      <c r="B193" s="110" t="s">
        <v>217</v>
      </c>
      <c r="C193" s="110" t="s">
        <v>569</v>
      </c>
      <c r="D193" s="74" t="s">
        <v>604</v>
      </c>
      <c r="E193" s="104" t="s">
        <v>119</v>
      </c>
      <c r="F193" s="101" t="s">
        <v>72</v>
      </c>
      <c r="G193" s="101" t="s">
        <v>486</v>
      </c>
      <c r="H193" s="101">
        <v>2026</v>
      </c>
      <c r="I193" s="105" t="s">
        <v>203</v>
      </c>
      <c r="J193" s="105"/>
      <c r="K193" s="101">
        <v>1</v>
      </c>
      <c r="L193" s="106">
        <v>5000</v>
      </c>
      <c r="M193" s="48">
        <f>+IF(E193="",0,VLOOKUP(E193,[1]Code!J:K,2,0))</f>
        <v>8</v>
      </c>
      <c r="N193" s="49">
        <f t="shared" si="40"/>
        <v>0.125</v>
      </c>
      <c r="O193" s="50">
        <f t="shared" si="41"/>
        <v>0</v>
      </c>
      <c r="P193" s="50">
        <f t="shared" si="42"/>
        <v>0</v>
      </c>
      <c r="Q193" s="50">
        <f t="shared" si="43"/>
        <v>0</v>
      </c>
      <c r="R193" s="50">
        <f t="shared" si="44"/>
        <v>0</v>
      </c>
      <c r="S193" s="50">
        <f t="shared" si="45"/>
        <v>0</v>
      </c>
      <c r="T193" s="50">
        <f t="shared" si="46"/>
        <v>0</v>
      </c>
      <c r="U193" s="50">
        <f t="shared" si="47"/>
        <v>0</v>
      </c>
      <c r="V193" s="50">
        <f t="shared" si="48"/>
        <v>0</v>
      </c>
      <c r="W193" s="50">
        <f t="shared" si="49"/>
        <v>0</v>
      </c>
      <c r="X193" s="50">
        <f t="shared" si="50"/>
        <v>0</v>
      </c>
      <c r="Y193" s="50">
        <f t="shared" si="51"/>
        <v>5000</v>
      </c>
      <c r="Z193" s="50">
        <f t="shared" si="52"/>
        <v>625</v>
      </c>
      <c r="AA193" s="50">
        <f t="shared" si="53"/>
        <v>4375</v>
      </c>
      <c r="AB193" s="50">
        <f t="shared" si="54"/>
        <v>625</v>
      </c>
      <c r="AC193" s="50">
        <f t="shared" si="55"/>
        <v>3750</v>
      </c>
      <c r="AD193" s="50">
        <f t="shared" si="56"/>
        <v>625</v>
      </c>
      <c r="AE193" s="50">
        <f t="shared" si="57"/>
        <v>3125</v>
      </c>
      <c r="AF193" s="50">
        <f t="shared" si="58"/>
        <v>625</v>
      </c>
      <c r="AG193" s="51" t="str">
        <f t="shared" si="59"/>
        <v xml:space="preserve">5 MACHINERY,UTILITIESALL </v>
      </c>
      <c r="AH193" s="41"/>
      <c r="AI193" s="51" t="s">
        <v>487</v>
      </c>
      <c r="AJ193" s="51" t="s">
        <v>488</v>
      </c>
    </row>
    <row r="194" spans="1:36" ht="15.95" customHeight="1">
      <c r="A194" s="101" t="s">
        <v>605</v>
      </c>
      <c r="B194" s="110" t="s">
        <v>217</v>
      </c>
      <c r="C194" s="110" t="s">
        <v>569</v>
      </c>
      <c r="D194" s="74" t="s">
        <v>606</v>
      </c>
      <c r="E194" s="104" t="s">
        <v>119</v>
      </c>
      <c r="F194" s="101" t="s">
        <v>72</v>
      </c>
      <c r="G194" s="101" t="s">
        <v>486</v>
      </c>
      <c r="H194" s="101">
        <v>2026</v>
      </c>
      <c r="I194" s="105" t="s">
        <v>76</v>
      </c>
      <c r="J194" s="105"/>
      <c r="K194" s="101">
        <v>1</v>
      </c>
      <c r="L194" s="106">
        <v>10000</v>
      </c>
      <c r="M194" s="48">
        <f>+IF(E194="",0,VLOOKUP(E194,[1]Code!J:K,2,0))</f>
        <v>8</v>
      </c>
      <c r="N194" s="49">
        <f t="shared" si="40"/>
        <v>0.125</v>
      </c>
      <c r="O194" s="50">
        <f t="shared" si="41"/>
        <v>0</v>
      </c>
      <c r="P194" s="50">
        <f t="shared" si="42"/>
        <v>0</v>
      </c>
      <c r="Q194" s="50">
        <f t="shared" si="43"/>
        <v>0</v>
      </c>
      <c r="R194" s="50">
        <f t="shared" si="44"/>
        <v>0</v>
      </c>
      <c r="S194" s="50">
        <f t="shared" si="45"/>
        <v>0</v>
      </c>
      <c r="T194" s="50">
        <f t="shared" si="46"/>
        <v>0</v>
      </c>
      <c r="U194" s="50">
        <f t="shared" si="47"/>
        <v>0</v>
      </c>
      <c r="V194" s="50">
        <f t="shared" si="48"/>
        <v>0</v>
      </c>
      <c r="W194" s="50">
        <f t="shared" si="49"/>
        <v>0</v>
      </c>
      <c r="X194" s="50">
        <f t="shared" si="50"/>
        <v>0</v>
      </c>
      <c r="Y194" s="50">
        <f t="shared" si="51"/>
        <v>10000</v>
      </c>
      <c r="Z194" s="50">
        <f t="shared" si="52"/>
        <v>1250</v>
      </c>
      <c r="AA194" s="50">
        <f t="shared" si="53"/>
        <v>8750</v>
      </c>
      <c r="AB194" s="50">
        <f t="shared" si="54"/>
        <v>1250</v>
      </c>
      <c r="AC194" s="50">
        <f t="shared" si="55"/>
        <v>7500</v>
      </c>
      <c r="AD194" s="50">
        <f t="shared" si="56"/>
        <v>1250</v>
      </c>
      <c r="AE194" s="50">
        <f t="shared" si="57"/>
        <v>6250</v>
      </c>
      <c r="AF194" s="50">
        <f t="shared" si="58"/>
        <v>1250</v>
      </c>
      <c r="AG194" s="51" t="str">
        <f t="shared" si="59"/>
        <v xml:space="preserve">5 MACHINERY,UTILITIESALL </v>
      </c>
      <c r="AH194" s="41"/>
      <c r="AI194" s="51" t="s">
        <v>487</v>
      </c>
      <c r="AJ194" s="51" t="s">
        <v>488</v>
      </c>
    </row>
    <row r="195" spans="1:36" ht="15.95" customHeight="1">
      <c r="A195" s="115" t="s">
        <v>607</v>
      </c>
      <c r="B195" s="116" t="s">
        <v>439</v>
      </c>
      <c r="C195" s="116" t="s">
        <v>569</v>
      </c>
      <c r="D195" s="117" t="s">
        <v>608</v>
      </c>
      <c r="E195" s="118" t="s">
        <v>119</v>
      </c>
      <c r="F195" s="115" t="s">
        <v>72</v>
      </c>
      <c r="G195" s="115" t="s">
        <v>486</v>
      </c>
      <c r="H195" s="115">
        <v>2026</v>
      </c>
      <c r="I195" s="119" t="s">
        <v>55</v>
      </c>
      <c r="J195" s="120"/>
      <c r="K195" s="115">
        <v>1</v>
      </c>
      <c r="L195" s="121">
        <v>40000</v>
      </c>
      <c r="M195" s="48">
        <f>+IF(E195="",0,VLOOKUP(E195,[1]Code!J:K,2,0))</f>
        <v>8</v>
      </c>
      <c r="N195" s="49">
        <f t="shared" si="40"/>
        <v>0.125</v>
      </c>
      <c r="O195" s="50">
        <f t="shared" si="41"/>
        <v>0</v>
      </c>
      <c r="P195" s="50">
        <f t="shared" si="42"/>
        <v>0</v>
      </c>
      <c r="Q195" s="50">
        <f t="shared" si="43"/>
        <v>0</v>
      </c>
      <c r="R195" s="50">
        <f t="shared" si="44"/>
        <v>0</v>
      </c>
      <c r="S195" s="50">
        <f t="shared" si="45"/>
        <v>0</v>
      </c>
      <c r="T195" s="50">
        <f t="shared" si="46"/>
        <v>0</v>
      </c>
      <c r="U195" s="50">
        <f t="shared" si="47"/>
        <v>0</v>
      </c>
      <c r="V195" s="50">
        <f t="shared" si="48"/>
        <v>0</v>
      </c>
      <c r="W195" s="50">
        <f t="shared" si="49"/>
        <v>0</v>
      </c>
      <c r="X195" s="50">
        <f t="shared" si="50"/>
        <v>0</v>
      </c>
      <c r="Y195" s="50">
        <f t="shared" si="51"/>
        <v>40000</v>
      </c>
      <c r="Z195" s="50">
        <f t="shared" si="52"/>
        <v>5000</v>
      </c>
      <c r="AA195" s="50">
        <f t="shared" si="53"/>
        <v>35000</v>
      </c>
      <c r="AB195" s="50">
        <f t="shared" si="54"/>
        <v>5000</v>
      </c>
      <c r="AC195" s="50">
        <f t="shared" si="55"/>
        <v>30000</v>
      </c>
      <c r="AD195" s="50">
        <f t="shared" si="56"/>
        <v>5000</v>
      </c>
      <c r="AE195" s="50">
        <f t="shared" si="57"/>
        <v>25000</v>
      </c>
      <c r="AF195" s="50">
        <f t="shared" si="58"/>
        <v>5000</v>
      </c>
      <c r="AG195" s="51" t="str">
        <f t="shared" si="59"/>
        <v xml:space="preserve">5 MACHINERY,UTILITIESALL </v>
      </c>
      <c r="AH195" s="41"/>
      <c r="AI195" s="51" t="s">
        <v>487</v>
      </c>
      <c r="AJ195" s="51" t="s">
        <v>488</v>
      </c>
    </row>
    <row r="196" spans="1:36" ht="15.95" customHeight="1">
      <c r="A196" s="101" t="s">
        <v>609</v>
      </c>
      <c r="B196" s="102" t="s">
        <v>514</v>
      </c>
      <c r="C196" s="102" t="s">
        <v>610</v>
      </c>
      <c r="D196" s="74" t="s">
        <v>611</v>
      </c>
      <c r="E196" s="104" t="s">
        <v>119</v>
      </c>
      <c r="F196" s="101" t="s">
        <v>72</v>
      </c>
      <c r="G196" s="104" t="s">
        <v>486</v>
      </c>
      <c r="H196" s="104">
        <v>2026</v>
      </c>
      <c r="I196" s="122" t="s">
        <v>76</v>
      </c>
      <c r="J196" s="122"/>
      <c r="K196" s="104">
        <v>1</v>
      </c>
      <c r="L196" s="123">
        <v>22000</v>
      </c>
      <c r="M196" s="48">
        <f>+IF(E196="",0,VLOOKUP(E196,[1]Code!J:K,2,0))</f>
        <v>8</v>
      </c>
      <c r="N196" s="49">
        <f t="shared" si="40"/>
        <v>0.125</v>
      </c>
      <c r="O196" s="50">
        <f t="shared" si="41"/>
        <v>0</v>
      </c>
      <c r="P196" s="50">
        <f t="shared" si="42"/>
        <v>0</v>
      </c>
      <c r="Q196" s="50">
        <f t="shared" si="43"/>
        <v>0</v>
      </c>
      <c r="R196" s="50">
        <f t="shared" si="44"/>
        <v>0</v>
      </c>
      <c r="S196" s="50">
        <f t="shared" si="45"/>
        <v>0</v>
      </c>
      <c r="T196" s="50">
        <f t="shared" si="46"/>
        <v>0</v>
      </c>
      <c r="U196" s="50">
        <f t="shared" si="47"/>
        <v>0</v>
      </c>
      <c r="V196" s="50">
        <f t="shared" si="48"/>
        <v>0</v>
      </c>
      <c r="W196" s="50">
        <f t="shared" si="49"/>
        <v>0</v>
      </c>
      <c r="X196" s="50">
        <f t="shared" si="50"/>
        <v>0</v>
      </c>
      <c r="Y196" s="50">
        <f t="shared" si="51"/>
        <v>22000</v>
      </c>
      <c r="Z196" s="50">
        <f t="shared" si="52"/>
        <v>2750</v>
      </c>
      <c r="AA196" s="50">
        <f t="shared" si="53"/>
        <v>19250</v>
      </c>
      <c r="AB196" s="50">
        <f t="shared" si="54"/>
        <v>2750</v>
      </c>
      <c r="AC196" s="50">
        <f t="shared" si="55"/>
        <v>16500</v>
      </c>
      <c r="AD196" s="50">
        <f t="shared" si="56"/>
        <v>2750</v>
      </c>
      <c r="AE196" s="50">
        <f t="shared" si="57"/>
        <v>13750</v>
      </c>
      <c r="AF196" s="50">
        <f t="shared" si="58"/>
        <v>2750</v>
      </c>
      <c r="AG196" s="51" t="str">
        <f t="shared" si="59"/>
        <v xml:space="preserve">5 MACHINERY,UTILITIESALL </v>
      </c>
      <c r="AH196" s="41"/>
      <c r="AI196" s="51" t="s">
        <v>487</v>
      </c>
      <c r="AJ196" s="51" t="s">
        <v>488</v>
      </c>
    </row>
    <row r="197" spans="1:36" ht="15.95" customHeight="1">
      <c r="A197" s="101" t="s">
        <v>612</v>
      </c>
      <c r="B197" s="102" t="s">
        <v>514</v>
      </c>
      <c r="C197" s="102" t="s">
        <v>613</v>
      </c>
      <c r="D197" s="74" t="s">
        <v>614</v>
      </c>
      <c r="E197" s="104" t="s">
        <v>119</v>
      </c>
      <c r="F197" s="101" t="s">
        <v>72</v>
      </c>
      <c r="G197" s="104" t="s">
        <v>486</v>
      </c>
      <c r="H197" s="104">
        <v>2026</v>
      </c>
      <c r="I197" s="122" t="s">
        <v>67</v>
      </c>
      <c r="J197" s="122"/>
      <c r="K197" s="104">
        <v>1</v>
      </c>
      <c r="L197" s="123">
        <v>15000</v>
      </c>
      <c r="M197" s="48">
        <f>+IF(E197="",0,VLOOKUP(E197,[1]Code!J:K,2,0))</f>
        <v>8</v>
      </c>
      <c r="N197" s="49">
        <f t="shared" si="40"/>
        <v>0.125</v>
      </c>
      <c r="O197" s="50">
        <f t="shared" si="41"/>
        <v>0</v>
      </c>
      <c r="P197" s="50">
        <f t="shared" si="42"/>
        <v>0</v>
      </c>
      <c r="Q197" s="50">
        <f t="shared" si="43"/>
        <v>0</v>
      </c>
      <c r="R197" s="50">
        <f t="shared" si="44"/>
        <v>0</v>
      </c>
      <c r="S197" s="50">
        <f t="shared" si="45"/>
        <v>0</v>
      </c>
      <c r="T197" s="50">
        <f t="shared" si="46"/>
        <v>0</v>
      </c>
      <c r="U197" s="50">
        <f t="shared" si="47"/>
        <v>0</v>
      </c>
      <c r="V197" s="50">
        <f t="shared" si="48"/>
        <v>0</v>
      </c>
      <c r="W197" s="50">
        <f t="shared" si="49"/>
        <v>0</v>
      </c>
      <c r="X197" s="50">
        <f t="shared" si="50"/>
        <v>0</v>
      </c>
      <c r="Y197" s="50">
        <f t="shared" si="51"/>
        <v>15000</v>
      </c>
      <c r="Z197" s="50">
        <f t="shared" si="52"/>
        <v>1875</v>
      </c>
      <c r="AA197" s="50">
        <f t="shared" si="53"/>
        <v>13125</v>
      </c>
      <c r="AB197" s="50">
        <f t="shared" si="54"/>
        <v>1875</v>
      </c>
      <c r="AC197" s="50">
        <f t="shared" si="55"/>
        <v>11250</v>
      </c>
      <c r="AD197" s="50">
        <f t="shared" si="56"/>
        <v>1875</v>
      </c>
      <c r="AE197" s="50">
        <f t="shared" si="57"/>
        <v>9375</v>
      </c>
      <c r="AF197" s="50">
        <f t="shared" si="58"/>
        <v>1875</v>
      </c>
      <c r="AG197" s="51" t="str">
        <f t="shared" si="59"/>
        <v xml:space="preserve">5 MACHINERY,UTILITIESALL </v>
      </c>
      <c r="AH197" s="41"/>
      <c r="AI197" s="51" t="s">
        <v>487</v>
      </c>
      <c r="AJ197" s="51" t="s">
        <v>488</v>
      </c>
    </row>
    <row r="198" spans="1:36" ht="15.95" customHeight="1">
      <c r="A198" s="101" t="s">
        <v>615</v>
      </c>
      <c r="B198" s="102" t="s">
        <v>281</v>
      </c>
      <c r="C198" s="102" t="s">
        <v>616</v>
      </c>
      <c r="D198" s="74" t="s">
        <v>617</v>
      </c>
      <c r="E198" s="104" t="s">
        <v>119</v>
      </c>
      <c r="F198" s="101" t="s">
        <v>72</v>
      </c>
      <c r="G198" s="104" t="s">
        <v>486</v>
      </c>
      <c r="H198" s="104">
        <v>2026</v>
      </c>
      <c r="I198" s="122" t="s">
        <v>76</v>
      </c>
      <c r="J198" s="122"/>
      <c r="K198" s="104">
        <v>1</v>
      </c>
      <c r="L198" s="123">
        <v>20000</v>
      </c>
      <c r="M198" s="48">
        <f>+IF(E198="",0,VLOOKUP(E198,[1]Code!J:K,2,0))</f>
        <v>8</v>
      </c>
      <c r="N198" s="49">
        <f t="shared" si="40"/>
        <v>0.125</v>
      </c>
      <c r="O198" s="50">
        <f t="shared" si="41"/>
        <v>0</v>
      </c>
      <c r="P198" s="50">
        <f t="shared" si="42"/>
        <v>0</v>
      </c>
      <c r="Q198" s="50">
        <f t="shared" si="43"/>
        <v>0</v>
      </c>
      <c r="R198" s="50">
        <f t="shared" si="44"/>
        <v>0</v>
      </c>
      <c r="S198" s="50">
        <f t="shared" si="45"/>
        <v>0</v>
      </c>
      <c r="T198" s="50">
        <f t="shared" si="46"/>
        <v>0</v>
      </c>
      <c r="U198" s="50">
        <f t="shared" si="47"/>
        <v>0</v>
      </c>
      <c r="V198" s="50">
        <f t="shared" si="48"/>
        <v>0</v>
      </c>
      <c r="W198" s="50">
        <f t="shared" si="49"/>
        <v>0</v>
      </c>
      <c r="X198" s="50">
        <f t="shared" si="50"/>
        <v>0</v>
      </c>
      <c r="Y198" s="50">
        <f t="shared" si="51"/>
        <v>20000</v>
      </c>
      <c r="Z198" s="50">
        <f t="shared" si="52"/>
        <v>2500</v>
      </c>
      <c r="AA198" s="50">
        <f t="shared" si="53"/>
        <v>17500</v>
      </c>
      <c r="AB198" s="50">
        <f t="shared" si="54"/>
        <v>2500</v>
      </c>
      <c r="AC198" s="50">
        <f t="shared" si="55"/>
        <v>15000</v>
      </c>
      <c r="AD198" s="50">
        <f t="shared" si="56"/>
        <v>2500</v>
      </c>
      <c r="AE198" s="50">
        <f t="shared" si="57"/>
        <v>12500</v>
      </c>
      <c r="AF198" s="50">
        <f t="shared" si="58"/>
        <v>2500</v>
      </c>
      <c r="AG198" s="51" t="str">
        <f t="shared" si="59"/>
        <v xml:space="preserve">5 MACHINERY,UTILITIESALL </v>
      </c>
      <c r="AH198" s="41"/>
      <c r="AI198" s="51" t="s">
        <v>487</v>
      </c>
      <c r="AJ198" s="51" t="s">
        <v>488</v>
      </c>
    </row>
    <row r="199" spans="1:36" ht="15.95" customHeight="1">
      <c r="A199" s="101" t="s">
        <v>618</v>
      </c>
      <c r="B199" s="102" t="s">
        <v>293</v>
      </c>
      <c r="C199" s="102" t="s">
        <v>619</v>
      </c>
      <c r="D199" s="74" t="s">
        <v>620</v>
      </c>
      <c r="E199" s="104" t="s">
        <v>119</v>
      </c>
      <c r="F199" s="101" t="s">
        <v>72</v>
      </c>
      <c r="G199" s="104" t="s">
        <v>486</v>
      </c>
      <c r="H199" s="104">
        <v>2026</v>
      </c>
      <c r="I199" s="122" t="s">
        <v>414</v>
      </c>
      <c r="J199" s="122"/>
      <c r="K199" s="104">
        <v>1</v>
      </c>
      <c r="L199" s="123">
        <v>1000</v>
      </c>
      <c r="M199" s="48">
        <f>+IF(E199="",0,VLOOKUP(E199,[1]Code!J:K,2,0))</f>
        <v>8</v>
      </c>
      <c r="N199" s="49">
        <f t="shared" si="40"/>
        <v>0.125</v>
      </c>
      <c r="O199" s="50">
        <f t="shared" si="41"/>
        <v>0</v>
      </c>
      <c r="P199" s="50">
        <f t="shared" si="42"/>
        <v>0</v>
      </c>
      <c r="Q199" s="50">
        <f t="shared" si="43"/>
        <v>0</v>
      </c>
      <c r="R199" s="50">
        <f t="shared" si="44"/>
        <v>0</v>
      </c>
      <c r="S199" s="50">
        <f t="shared" si="45"/>
        <v>0</v>
      </c>
      <c r="T199" s="50">
        <f t="shared" si="46"/>
        <v>0</v>
      </c>
      <c r="U199" s="50">
        <f t="shared" si="47"/>
        <v>0</v>
      </c>
      <c r="V199" s="50">
        <f t="shared" si="48"/>
        <v>0</v>
      </c>
      <c r="W199" s="50">
        <f t="shared" si="49"/>
        <v>0</v>
      </c>
      <c r="X199" s="50">
        <f t="shared" si="50"/>
        <v>0</v>
      </c>
      <c r="Y199" s="50">
        <f t="shared" si="51"/>
        <v>1000</v>
      </c>
      <c r="Z199" s="50">
        <f t="shared" si="52"/>
        <v>125</v>
      </c>
      <c r="AA199" s="50">
        <f t="shared" si="53"/>
        <v>875</v>
      </c>
      <c r="AB199" s="50">
        <f t="shared" si="54"/>
        <v>125</v>
      </c>
      <c r="AC199" s="50">
        <f t="shared" si="55"/>
        <v>750</v>
      </c>
      <c r="AD199" s="50">
        <f t="shared" si="56"/>
        <v>125</v>
      </c>
      <c r="AE199" s="50">
        <f t="shared" si="57"/>
        <v>625</v>
      </c>
      <c r="AF199" s="50">
        <f t="shared" si="58"/>
        <v>125</v>
      </c>
      <c r="AG199" s="51" t="str">
        <f t="shared" si="59"/>
        <v xml:space="preserve">5 MACHINERY,UTILITIESALL </v>
      </c>
      <c r="AH199" s="41"/>
      <c r="AI199" s="51" t="s">
        <v>487</v>
      </c>
      <c r="AJ199" s="51" t="s">
        <v>488</v>
      </c>
    </row>
    <row r="200" spans="1:36" ht="15.95" customHeight="1">
      <c r="A200" s="101" t="s">
        <v>621</v>
      </c>
      <c r="B200" s="102" t="s">
        <v>293</v>
      </c>
      <c r="C200" s="102" t="s">
        <v>622</v>
      </c>
      <c r="D200" s="74" t="s">
        <v>623</v>
      </c>
      <c r="E200" s="104" t="s">
        <v>119</v>
      </c>
      <c r="F200" s="101" t="s">
        <v>72</v>
      </c>
      <c r="G200" s="104" t="s">
        <v>486</v>
      </c>
      <c r="H200" s="104">
        <v>2026</v>
      </c>
      <c r="I200" s="122" t="s">
        <v>400</v>
      </c>
      <c r="J200" s="122"/>
      <c r="K200" s="104">
        <v>1</v>
      </c>
      <c r="L200" s="123">
        <v>12000</v>
      </c>
      <c r="M200" s="48">
        <f>+IF(E200="",0,VLOOKUP(E200,[1]Code!J:K,2,0))</f>
        <v>8</v>
      </c>
      <c r="N200" s="49">
        <f t="shared" si="40"/>
        <v>0.125</v>
      </c>
      <c r="O200" s="50">
        <f t="shared" si="41"/>
        <v>0</v>
      </c>
      <c r="P200" s="50">
        <f t="shared" si="42"/>
        <v>0</v>
      </c>
      <c r="Q200" s="50">
        <f t="shared" si="43"/>
        <v>0</v>
      </c>
      <c r="R200" s="50">
        <f t="shared" si="44"/>
        <v>0</v>
      </c>
      <c r="S200" s="50">
        <f t="shared" si="45"/>
        <v>0</v>
      </c>
      <c r="T200" s="50">
        <f t="shared" si="46"/>
        <v>0</v>
      </c>
      <c r="U200" s="50">
        <f t="shared" si="47"/>
        <v>0</v>
      </c>
      <c r="V200" s="50">
        <f t="shared" si="48"/>
        <v>0</v>
      </c>
      <c r="W200" s="50">
        <f t="shared" si="49"/>
        <v>0</v>
      </c>
      <c r="X200" s="50">
        <f t="shared" si="50"/>
        <v>0</v>
      </c>
      <c r="Y200" s="50">
        <f t="shared" si="51"/>
        <v>12000</v>
      </c>
      <c r="Z200" s="50">
        <f t="shared" si="52"/>
        <v>1500</v>
      </c>
      <c r="AA200" s="50">
        <f t="shared" si="53"/>
        <v>10500</v>
      </c>
      <c r="AB200" s="50">
        <f t="shared" si="54"/>
        <v>1500</v>
      </c>
      <c r="AC200" s="50">
        <f t="shared" si="55"/>
        <v>9000</v>
      </c>
      <c r="AD200" s="50">
        <f t="shared" si="56"/>
        <v>1500</v>
      </c>
      <c r="AE200" s="50">
        <f t="shared" si="57"/>
        <v>7500</v>
      </c>
      <c r="AF200" s="50">
        <f t="shared" si="58"/>
        <v>1500</v>
      </c>
      <c r="AG200" s="51" t="str">
        <f t="shared" si="59"/>
        <v xml:space="preserve">5 MACHINERY,UTILITIESALL </v>
      </c>
      <c r="AH200" s="41"/>
      <c r="AI200" s="51" t="s">
        <v>487</v>
      </c>
      <c r="AJ200" s="51" t="s">
        <v>488</v>
      </c>
    </row>
    <row r="201" spans="1:36" ht="15.95" customHeight="1">
      <c r="A201" s="101" t="s">
        <v>624</v>
      </c>
      <c r="B201" s="102" t="s">
        <v>281</v>
      </c>
      <c r="C201" s="102" t="s">
        <v>625</v>
      </c>
      <c r="D201" s="103" t="s">
        <v>626</v>
      </c>
      <c r="E201" s="104" t="s">
        <v>119</v>
      </c>
      <c r="F201" s="101" t="s">
        <v>72</v>
      </c>
      <c r="G201" s="104" t="s">
        <v>486</v>
      </c>
      <c r="H201" s="104">
        <v>2026</v>
      </c>
      <c r="I201" s="122" t="s">
        <v>203</v>
      </c>
      <c r="J201" s="122"/>
      <c r="K201" s="104">
        <v>1</v>
      </c>
      <c r="L201" s="123">
        <f>(1500000*6/1000*1.1)+(2000000/1000*1.1)</f>
        <v>12100</v>
      </c>
      <c r="M201" s="48">
        <f>+IF(E201="",0,VLOOKUP(E201,[1]Code!J:K,2,0))</f>
        <v>8</v>
      </c>
      <c r="N201" s="49">
        <f t="shared" ref="N201:N264" si="60">IF(ISERROR(1/M201),0,1/M201)</f>
        <v>0.125</v>
      </c>
      <c r="O201" s="50">
        <f t="shared" ref="O201:O264" si="61">+IF(P$4&lt;1,0,IF(P$4=1,$L201,0))</f>
        <v>0</v>
      </c>
      <c r="P201" s="50">
        <f t="shared" ref="P201:P264" si="62">+IF(P$4&lt;1,0,IF($M201&lt;P$4,0,ROUND($L201*$N201,3)))</f>
        <v>0</v>
      </c>
      <c r="Q201" s="50">
        <f t="shared" ref="Q201:Q264" si="63">+IF(R$4&lt;1,0,IF(R$4=1,$L201,O201-P201))</f>
        <v>0</v>
      </c>
      <c r="R201" s="50">
        <f t="shared" ref="R201:R264" si="64">+IF(R$4&lt;1,0,IF($M201&lt;R$4,0,ROUND($L201*$N201,3)))</f>
        <v>0</v>
      </c>
      <c r="S201" s="50">
        <f t="shared" ref="S201:S264" si="65">+IF(T$4&lt;1,0,IF(T$4=1,$L201,Q201-R201))</f>
        <v>0</v>
      </c>
      <c r="T201" s="50">
        <f t="shared" ref="T201:T264" si="66">+IF(T$4&lt;1,0,IF($M201&lt;T$4,0,ROUND($L201*$N201,3)))</f>
        <v>0</v>
      </c>
      <c r="U201" s="50">
        <f t="shared" ref="U201:U264" si="67">+IF(V$4&lt;1,0,IF(V$4=1,$L201,S201-T201))</f>
        <v>0</v>
      </c>
      <c r="V201" s="50">
        <f t="shared" ref="V201:V264" si="68">+IF(V$4&lt;1,0,IF($M201&lt;V$4,0,ROUND($L201*$N201,3)))</f>
        <v>0</v>
      </c>
      <c r="W201" s="50">
        <f t="shared" ref="W201:W264" si="69">+IF(X$4&lt;1,0,IF(X$4=1,$L201,U201-V201))</f>
        <v>0</v>
      </c>
      <c r="X201" s="50">
        <f t="shared" ref="X201:X264" si="70">+IF(X$4&lt;1,0,IF($M201&lt;X$4,0,ROUND($L201*$N201,3)))</f>
        <v>0</v>
      </c>
      <c r="Y201" s="50">
        <f t="shared" ref="Y201:Y264" si="71">+IF(Z$4&lt;1,0,IF(Z$4=1,$L201,W201-X201))</f>
        <v>12100</v>
      </c>
      <c r="Z201" s="50">
        <f t="shared" ref="Z201:Z264" si="72">+IF(Z$4&lt;1,0,IF($M201&lt;Z$4,0,ROUND($L201*$N201,3)))</f>
        <v>1512.5</v>
      </c>
      <c r="AA201" s="50">
        <f t="shared" ref="AA201:AA264" si="73">+IF(AB$4&lt;1,0,IF(AB$4=1,$L201,Y201-Z201))</f>
        <v>10587.5</v>
      </c>
      <c r="AB201" s="50">
        <f t="shared" ref="AB201:AB264" si="74">+IF(AB$4&lt;1,0,IF($M201&lt;AB$4,0,ROUND($L201*$N201,3)))</f>
        <v>1512.5</v>
      </c>
      <c r="AC201" s="50">
        <f t="shared" ref="AC201:AC264" si="75">+IF(AD$4&lt;1,0,IF(AD$4=1,$L201,AA201-AB201))</f>
        <v>9075</v>
      </c>
      <c r="AD201" s="50">
        <f t="shared" ref="AD201:AD264" si="76">+IF(AD$4&lt;1,0,IF($M201&lt;AD$4,0,ROUND($L201*$N201,3)))</f>
        <v>1512.5</v>
      </c>
      <c r="AE201" s="50">
        <f t="shared" ref="AE201:AE264" si="77">+IF(AF$4&lt;1,0,IF(AF$4=1,$L201,AC201-AD201))</f>
        <v>7562.5</v>
      </c>
      <c r="AF201" s="50">
        <f t="shared" ref="AF201:AF264" si="78">+IF(AF$4&lt;1,0,IF($M201&lt;AF$4,0,ROUND($L201*$N201,3)))</f>
        <v>1512.5</v>
      </c>
      <c r="AG201" s="51" t="str">
        <f t="shared" ref="AG201:AG264" si="79">E201&amp;F201</f>
        <v xml:space="preserve">5 MACHINERY,UTILITIESALL </v>
      </c>
      <c r="AH201" s="41"/>
      <c r="AI201" s="51" t="s">
        <v>487</v>
      </c>
      <c r="AJ201" s="51" t="s">
        <v>488</v>
      </c>
    </row>
    <row r="202" spans="1:36" ht="15.95" customHeight="1">
      <c r="A202" s="101" t="s">
        <v>627</v>
      </c>
      <c r="B202" s="102" t="s">
        <v>281</v>
      </c>
      <c r="C202" s="102" t="s">
        <v>616</v>
      </c>
      <c r="D202" s="74" t="s">
        <v>628</v>
      </c>
      <c r="E202" s="104" t="s">
        <v>119</v>
      </c>
      <c r="F202" s="101" t="s">
        <v>72</v>
      </c>
      <c r="G202" s="104" t="s">
        <v>486</v>
      </c>
      <c r="H202" s="104">
        <v>2026</v>
      </c>
      <c r="I202" s="122" t="s">
        <v>629</v>
      </c>
      <c r="J202" s="122"/>
      <c r="K202" s="104">
        <v>1</v>
      </c>
      <c r="L202" s="123">
        <v>800</v>
      </c>
      <c r="M202" s="48">
        <f>+IF(E202="",0,VLOOKUP(E202,[1]Code!J:K,2,0))</f>
        <v>8</v>
      </c>
      <c r="N202" s="49">
        <f t="shared" si="60"/>
        <v>0.125</v>
      </c>
      <c r="O202" s="50">
        <f t="shared" si="61"/>
        <v>0</v>
      </c>
      <c r="P202" s="50">
        <f t="shared" si="62"/>
        <v>0</v>
      </c>
      <c r="Q202" s="50">
        <f t="shared" si="63"/>
        <v>0</v>
      </c>
      <c r="R202" s="50">
        <f t="shared" si="64"/>
        <v>0</v>
      </c>
      <c r="S202" s="50">
        <f t="shared" si="65"/>
        <v>0</v>
      </c>
      <c r="T202" s="50">
        <f t="shared" si="66"/>
        <v>0</v>
      </c>
      <c r="U202" s="50">
        <f t="shared" si="67"/>
        <v>0</v>
      </c>
      <c r="V202" s="50">
        <f t="shared" si="68"/>
        <v>0</v>
      </c>
      <c r="W202" s="50">
        <f t="shared" si="69"/>
        <v>0</v>
      </c>
      <c r="X202" s="50">
        <f t="shared" si="70"/>
        <v>0</v>
      </c>
      <c r="Y202" s="50">
        <f t="shared" si="71"/>
        <v>800</v>
      </c>
      <c r="Z202" s="50">
        <f t="shared" si="72"/>
        <v>100</v>
      </c>
      <c r="AA202" s="50">
        <f t="shared" si="73"/>
        <v>700</v>
      </c>
      <c r="AB202" s="50">
        <f t="shared" si="74"/>
        <v>100</v>
      </c>
      <c r="AC202" s="50">
        <f t="shared" si="75"/>
        <v>600</v>
      </c>
      <c r="AD202" s="50">
        <f t="shared" si="76"/>
        <v>100</v>
      </c>
      <c r="AE202" s="50">
        <f t="shared" si="77"/>
        <v>500</v>
      </c>
      <c r="AF202" s="50">
        <f t="shared" si="78"/>
        <v>100</v>
      </c>
      <c r="AG202" s="51" t="str">
        <f t="shared" si="79"/>
        <v xml:space="preserve">5 MACHINERY,UTILITIESALL </v>
      </c>
      <c r="AH202" s="41"/>
      <c r="AI202" s="51" t="s">
        <v>487</v>
      </c>
      <c r="AJ202" s="51" t="s">
        <v>488</v>
      </c>
    </row>
    <row r="203" spans="1:36" ht="15.95" customHeight="1">
      <c r="A203" s="101" t="s">
        <v>630</v>
      </c>
      <c r="B203" s="102" t="s">
        <v>217</v>
      </c>
      <c r="C203" s="102" t="s">
        <v>631</v>
      </c>
      <c r="D203" s="74" t="s">
        <v>632</v>
      </c>
      <c r="E203" s="104" t="s">
        <v>119</v>
      </c>
      <c r="F203" s="101" t="s">
        <v>72</v>
      </c>
      <c r="G203" s="104" t="s">
        <v>486</v>
      </c>
      <c r="H203" s="104">
        <v>2026</v>
      </c>
      <c r="I203" s="122" t="s">
        <v>633</v>
      </c>
      <c r="J203" s="122"/>
      <c r="K203" s="104">
        <v>1</v>
      </c>
      <c r="L203" s="123">
        <v>4500</v>
      </c>
      <c r="M203" s="48">
        <f>+IF(E203="",0,VLOOKUP(E203,[1]Code!J:K,2,0))</f>
        <v>8</v>
      </c>
      <c r="N203" s="49">
        <f t="shared" si="60"/>
        <v>0.125</v>
      </c>
      <c r="O203" s="50">
        <f t="shared" si="61"/>
        <v>0</v>
      </c>
      <c r="P203" s="50">
        <f t="shared" si="62"/>
        <v>0</v>
      </c>
      <c r="Q203" s="50">
        <f t="shared" si="63"/>
        <v>0</v>
      </c>
      <c r="R203" s="50">
        <f t="shared" si="64"/>
        <v>0</v>
      </c>
      <c r="S203" s="50">
        <f t="shared" si="65"/>
        <v>0</v>
      </c>
      <c r="T203" s="50">
        <f t="shared" si="66"/>
        <v>0</v>
      </c>
      <c r="U203" s="50">
        <f t="shared" si="67"/>
        <v>0</v>
      </c>
      <c r="V203" s="50">
        <f t="shared" si="68"/>
        <v>0</v>
      </c>
      <c r="W203" s="50">
        <f t="shared" si="69"/>
        <v>0</v>
      </c>
      <c r="X203" s="50">
        <f t="shared" si="70"/>
        <v>0</v>
      </c>
      <c r="Y203" s="50">
        <f t="shared" si="71"/>
        <v>4500</v>
      </c>
      <c r="Z203" s="50">
        <f t="shared" si="72"/>
        <v>562.5</v>
      </c>
      <c r="AA203" s="50">
        <f t="shared" si="73"/>
        <v>3937.5</v>
      </c>
      <c r="AB203" s="50">
        <f t="shared" si="74"/>
        <v>562.5</v>
      </c>
      <c r="AC203" s="50">
        <f t="shared" si="75"/>
        <v>3375</v>
      </c>
      <c r="AD203" s="50">
        <f t="shared" si="76"/>
        <v>562.5</v>
      </c>
      <c r="AE203" s="50">
        <f t="shared" si="77"/>
        <v>2812.5</v>
      </c>
      <c r="AF203" s="50">
        <f t="shared" si="78"/>
        <v>562.5</v>
      </c>
      <c r="AG203" s="51" t="str">
        <f t="shared" si="79"/>
        <v xml:space="preserve">5 MACHINERY,UTILITIESALL </v>
      </c>
      <c r="AH203" s="41"/>
      <c r="AI203" s="51" t="s">
        <v>487</v>
      </c>
      <c r="AJ203" s="51" t="s">
        <v>488</v>
      </c>
    </row>
    <row r="204" spans="1:36" ht="15.95" customHeight="1">
      <c r="A204" s="101" t="s">
        <v>634</v>
      </c>
      <c r="B204" s="102" t="s">
        <v>217</v>
      </c>
      <c r="C204" s="102" t="s">
        <v>631</v>
      </c>
      <c r="D204" s="74" t="s">
        <v>635</v>
      </c>
      <c r="E204" s="104" t="s">
        <v>119</v>
      </c>
      <c r="F204" s="101" t="s">
        <v>72</v>
      </c>
      <c r="G204" s="104" t="s">
        <v>486</v>
      </c>
      <c r="H204" s="104">
        <v>2026</v>
      </c>
      <c r="I204" s="122" t="s">
        <v>67</v>
      </c>
      <c r="J204" s="122"/>
      <c r="K204" s="104">
        <v>1</v>
      </c>
      <c r="L204" s="123">
        <v>9000</v>
      </c>
      <c r="M204" s="48">
        <f>+IF(E204="",0,VLOOKUP(E204,[1]Code!J:K,2,0))</f>
        <v>8</v>
      </c>
      <c r="N204" s="49">
        <f t="shared" si="60"/>
        <v>0.125</v>
      </c>
      <c r="O204" s="50">
        <f t="shared" si="61"/>
        <v>0</v>
      </c>
      <c r="P204" s="50">
        <f t="shared" si="62"/>
        <v>0</v>
      </c>
      <c r="Q204" s="50">
        <f t="shared" si="63"/>
        <v>0</v>
      </c>
      <c r="R204" s="50">
        <f t="shared" si="64"/>
        <v>0</v>
      </c>
      <c r="S204" s="50">
        <f t="shared" si="65"/>
        <v>0</v>
      </c>
      <c r="T204" s="50">
        <f t="shared" si="66"/>
        <v>0</v>
      </c>
      <c r="U204" s="50">
        <f t="shared" si="67"/>
        <v>0</v>
      </c>
      <c r="V204" s="50">
        <f t="shared" si="68"/>
        <v>0</v>
      </c>
      <c r="W204" s="50">
        <f t="shared" si="69"/>
        <v>0</v>
      </c>
      <c r="X204" s="50">
        <f t="shared" si="70"/>
        <v>0</v>
      </c>
      <c r="Y204" s="50">
        <f t="shared" si="71"/>
        <v>9000</v>
      </c>
      <c r="Z204" s="50">
        <f t="shared" si="72"/>
        <v>1125</v>
      </c>
      <c r="AA204" s="50">
        <f t="shared" si="73"/>
        <v>7875</v>
      </c>
      <c r="AB204" s="50">
        <f t="shared" si="74"/>
        <v>1125</v>
      </c>
      <c r="AC204" s="50">
        <f t="shared" si="75"/>
        <v>6750</v>
      </c>
      <c r="AD204" s="50">
        <f t="shared" si="76"/>
        <v>1125</v>
      </c>
      <c r="AE204" s="50">
        <f t="shared" si="77"/>
        <v>5625</v>
      </c>
      <c r="AF204" s="50">
        <f t="shared" si="78"/>
        <v>1125</v>
      </c>
      <c r="AG204" s="51" t="str">
        <f t="shared" si="79"/>
        <v xml:space="preserve">5 MACHINERY,UTILITIESALL </v>
      </c>
      <c r="AH204" s="41"/>
      <c r="AI204" s="51" t="s">
        <v>487</v>
      </c>
      <c r="AJ204" s="51" t="s">
        <v>488</v>
      </c>
    </row>
    <row r="205" spans="1:36" ht="15.95" customHeight="1">
      <c r="A205" s="101" t="s">
        <v>636</v>
      </c>
      <c r="B205" s="102" t="s">
        <v>293</v>
      </c>
      <c r="C205" s="102" t="s">
        <v>637</v>
      </c>
      <c r="D205" s="74" t="s">
        <v>638</v>
      </c>
      <c r="E205" s="104" t="s">
        <v>119</v>
      </c>
      <c r="F205" s="101" t="s">
        <v>72</v>
      </c>
      <c r="G205" s="104" t="s">
        <v>486</v>
      </c>
      <c r="H205" s="104">
        <v>2026</v>
      </c>
      <c r="I205" s="122" t="s">
        <v>67</v>
      </c>
      <c r="J205" s="122"/>
      <c r="K205" s="104">
        <v>1</v>
      </c>
      <c r="L205" s="123">
        <v>8000</v>
      </c>
      <c r="M205" s="48">
        <f>+IF(E205="",0,VLOOKUP(E205,[1]Code!J:K,2,0))</f>
        <v>8</v>
      </c>
      <c r="N205" s="49">
        <f t="shared" si="60"/>
        <v>0.125</v>
      </c>
      <c r="O205" s="50">
        <f t="shared" si="61"/>
        <v>0</v>
      </c>
      <c r="P205" s="50">
        <f t="shared" si="62"/>
        <v>0</v>
      </c>
      <c r="Q205" s="50">
        <f t="shared" si="63"/>
        <v>0</v>
      </c>
      <c r="R205" s="50">
        <f t="shared" si="64"/>
        <v>0</v>
      </c>
      <c r="S205" s="50">
        <f t="shared" si="65"/>
        <v>0</v>
      </c>
      <c r="T205" s="50">
        <f t="shared" si="66"/>
        <v>0</v>
      </c>
      <c r="U205" s="50">
        <f t="shared" si="67"/>
        <v>0</v>
      </c>
      <c r="V205" s="50">
        <f t="shared" si="68"/>
        <v>0</v>
      </c>
      <c r="W205" s="50">
        <f t="shared" si="69"/>
        <v>0</v>
      </c>
      <c r="X205" s="50">
        <f t="shared" si="70"/>
        <v>0</v>
      </c>
      <c r="Y205" s="50">
        <f t="shared" si="71"/>
        <v>8000</v>
      </c>
      <c r="Z205" s="50">
        <f t="shared" si="72"/>
        <v>1000</v>
      </c>
      <c r="AA205" s="50">
        <f t="shared" si="73"/>
        <v>7000</v>
      </c>
      <c r="AB205" s="50">
        <f t="shared" si="74"/>
        <v>1000</v>
      </c>
      <c r="AC205" s="50">
        <f t="shared" si="75"/>
        <v>6000</v>
      </c>
      <c r="AD205" s="50">
        <f t="shared" si="76"/>
        <v>1000</v>
      </c>
      <c r="AE205" s="50">
        <f t="shared" si="77"/>
        <v>5000</v>
      </c>
      <c r="AF205" s="50">
        <f t="shared" si="78"/>
        <v>1000</v>
      </c>
      <c r="AG205" s="51" t="str">
        <f t="shared" si="79"/>
        <v xml:space="preserve">5 MACHINERY,UTILITIESALL </v>
      </c>
      <c r="AH205" s="41"/>
      <c r="AI205" s="51" t="s">
        <v>487</v>
      </c>
      <c r="AJ205" s="51" t="s">
        <v>488</v>
      </c>
    </row>
    <row r="206" spans="1:36" ht="15.95" customHeight="1">
      <c r="A206" s="101" t="s">
        <v>639</v>
      </c>
      <c r="B206" s="102" t="s">
        <v>281</v>
      </c>
      <c r="C206" s="102" t="s">
        <v>625</v>
      </c>
      <c r="D206" s="74" t="s">
        <v>640</v>
      </c>
      <c r="E206" s="104" t="s">
        <v>119</v>
      </c>
      <c r="F206" s="101" t="s">
        <v>72</v>
      </c>
      <c r="G206" s="104" t="s">
        <v>486</v>
      </c>
      <c r="H206" s="104">
        <v>2026</v>
      </c>
      <c r="I206" s="122" t="s">
        <v>203</v>
      </c>
      <c r="J206" s="122"/>
      <c r="K206" s="104">
        <v>1</v>
      </c>
      <c r="L206" s="123">
        <v>12000</v>
      </c>
      <c r="M206" s="48">
        <f>+IF(E206="",0,VLOOKUP(E206,[1]Code!J:K,2,0))</f>
        <v>8</v>
      </c>
      <c r="N206" s="49">
        <f t="shared" si="60"/>
        <v>0.125</v>
      </c>
      <c r="O206" s="50">
        <f t="shared" si="61"/>
        <v>0</v>
      </c>
      <c r="P206" s="50">
        <f t="shared" si="62"/>
        <v>0</v>
      </c>
      <c r="Q206" s="50">
        <f t="shared" si="63"/>
        <v>0</v>
      </c>
      <c r="R206" s="50">
        <f t="shared" si="64"/>
        <v>0</v>
      </c>
      <c r="S206" s="50">
        <f t="shared" si="65"/>
        <v>0</v>
      </c>
      <c r="T206" s="50">
        <f t="shared" si="66"/>
        <v>0</v>
      </c>
      <c r="U206" s="50">
        <f t="shared" si="67"/>
        <v>0</v>
      </c>
      <c r="V206" s="50">
        <f t="shared" si="68"/>
        <v>0</v>
      </c>
      <c r="W206" s="50">
        <f t="shared" si="69"/>
        <v>0</v>
      </c>
      <c r="X206" s="50">
        <f t="shared" si="70"/>
        <v>0</v>
      </c>
      <c r="Y206" s="50">
        <f t="shared" si="71"/>
        <v>12000</v>
      </c>
      <c r="Z206" s="50">
        <f t="shared" si="72"/>
        <v>1500</v>
      </c>
      <c r="AA206" s="50">
        <f t="shared" si="73"/>
        <v>10500</v>
      </c>
      <c r="AB206" s="50">
        <f t="shared" si="74"/>
        <v>1500</v>
      </c>
      <c r="AC206" s="50">
        <f t="shared" si="75"/>
        <v>9000</v>
      </c>
      <c r="AD206" s="50">
        <f t="shared" si="76"/>
        <v>1500</v>
      </c>
      <c r="AE206" s="50">
        <f t="shared" si="77"/>
        <v>7500</v>
      </c>
      <c r="AF206" s="50">
        <f t="shared" si="78"/>
        <v>1500</v>
      </c>
      <c r="AG206" s="51" t="str">
        <f t="shared" si="79"/>
        <v xml:space="preserve">5 MACHINERY,UTILITIESALL </v>
      </c>
      <c r="AH206" s="41"/>
      <c r="AI206" s="51" t="s">
        <v>487</v>
      </c>
      <c r="AJ206" s="51" t="s">
        <v>488</v>
      </c>
    </row>
    <row r="207" spans="1:36" ht="15.95" customHeight="1">
      <c r="A207" s="101" t="s">
        <v>641</v>
      </c>
      <c r="B207" s="102" t="s">
        <v>281</v>
      </c>
      <c r="C207" s="102" t="s">
        <v>642</v>
      </c>
      <c r="D207" s="74" t="s">
        <v>643</v>
      </c>
      <c r="E207" s="104" t="s">
        <v>119</v>
      </c>
      <c r="F207" s="101" t="s">
        <v>72</v>
      </c>
      <c r="G207" s="104" t="s">
        <v>486</v>
      </c>
      <c r="H207" s="104">
        <v>2026</v>
      </c>
      <c r="I207" s="122" t="s">
        <v>67</v>
      </c>
      <c r="J207" s="122"/>
      <c r="K207" s="104">
        <v>1</v>
      </c>
      <c r="L207" s="123">
        <v>1500</v>
      </c>
      <c r="M207" s="48">
        <f>+IF(E207="",0,VLOOKUP(E207,[1]Code!J:K,2,0))</f>
        <v>8</v>
      </c>
      <c r="N207" s="49">
        <f t="shared" si="60"/>
        <v>0.125</v>
      </c>
      <c r="O207" s="50">
        <f t="shared" si="61"/>
        <v>0</v>
      </c>
      <c r="P207" s="50">
        <f t="shared" si="62"/>
        <v>0</v>
      </c>
      <c r="Q207" s="50">
        <f t="shared" si="63"/>
        <v>0</v>
      </c>
      <c r="R207" s="50">
        <f t="shared" si="64"/>
        <v>0</v>
      </c>
      <c r="S207" s="50">
        <f t="shared" si="65"/>
        <v>0</v>
      </c>
      <c r="T207" s="50">
        <f t="shared" si="66"/>
        <v>0</v>
      </c>
      <c r="U207" s="50">
        <f t="shared" si="67"/>
        <v>0</v>
      </c>
      <c r="V207" s="50">
        <f t="shared" si="68"/>
        <v>0</v>
      </c>
      <c r="W207" s="50">
        <f t="shared" si="69"/>
        <v>0</v>
      </c>
      <c r="X207" s="50">
        <f t="shared" si="70"/>
        <v>0</v>
      </c>
      <c r="Y207" s="50">
        <f t="shared" si="71"/>
        <v>1500</v>
      </c>
      <c r="Z207" s="50">
        <f t="shared" si="72"/>
        <v>187.5</v>
      </c>
      <c r="AA207" s="50">
        <f t="shared" si="73"/>
        <v>1312.5</v>
      </c>
      <c r="AB207" s="50">
        <f t="shared" si="74"/>
        <v>187.5</v>
      </c>
      <c r="AC207" s="50">
        <f t="shared" si="75"/>
        <v>1125</v>
      </c>
      <c r="AD207" s="50">
        <f t="shared" si="76"/>
        <v>187.5</v>
      </c>
      <c r="AE207" s="50">
        <f t="shared" si="77"/>
        <v>937.5</v>
      </c>
      <c r="AF207" s="50">
        <f t="shared" si="78"/>
        <v>187.5</v>
      </c>
      <c r="AG207" s="51" t="str">
        <f t="shared" si="79"/>
        <v xml:space="preserve">5 MACHINERY,UTILITIESALL </v>
      </c>
      <c r="AH207" s="41"/>
      <c r="AI207" s="51" t="s">
        <v>487</v>
      </c>
      <c r="AJ207" s="51" t="s">
        <v>488</v>
      </c>
    </row>
    <row r="208" spans="1:36" ht="15.95" customHeight="1">
      <c r="A208" s="101" t="s">
        <v>644</v>
      </c>
      <c r="B208" s="102" t="s">
        <v>281</v>
      </c>
      <c r="C208" s="102" t="s">
        <v>625</v>
      </c>
      <c r="D208" s="74" t="s">
        <v>645</v>
      </c>
      <c r="E208" s="104" t="s">
        <v>119</v>
      </c>
      <c r="F208" s="101" t="s">
        <v>72</v>
      </c>
      <c r="G208" s="104" t="s">
        <v>486</v>
      </c>
      <c r="H208" s="104">
        <v>2027</v>
      </c>
      <c r="I208" s="122" t="s">
        <v>646</v>
      </c>
      <c r="J208" s="122"/>
      <c r="K208" s="104">
        <v>1</v>
      </c>
      <c r="L208" s="123">
        <v>5500</v>
      </c>
      <c r="M208" s="48">
        <f>+IF(E208="",0,VLOOKUP(E208,[1]Code!J:K,2,0))</f>
        <v>8</v>
      </c>
      <c r="N208" s="49">
        <f t="shared" si="60"/>
        <v>0.125</v>
      </c>
      <c r="O208" s="50">
        <f t="shared" si="61"/>
        <v>0</v>
      </c>
      <c r="P208" s="50">
        <f t="shared" si="62"/>
        <v>0</v>
      </c>
      <c r="Q208" s="50">
        <f t="shared" si="63"/>
        <v>0</v>
      </c>
      <c r="R208" s="50">
        <f t="shared" si="64"/>
        <v>0</v>
      </c>
      <c r="S208" s="50">
        <f t="shared" si="65"/>
        <v>0</v>
      </c>
      <c r="T208" s="50">
        <f t="shared" si="66"/>
        <v>0</v>
      </c>
      <c r="U208" s="50">
        <f t="shared" si="67"/>
        <v>0</v>
      </c>
      <c r="V208" s="50">
        <f t="shared" si="68"/>
        <v>0</v>
      </c>
      <c r="W208" s="50">
        <f t="shared" si="69"/>
        <v>0</v>
      </c>
      <c r="X208" s="50">
        <f t="shared" si="70"/>
        <v>0</v>
      </c>
      <c r="Y208" s="50">
        <f t="shared" si="71"/>
        <v>5500</v>
      </c>
      <c r="Z208" s="50">
        <f t="shared" si="72"/>
        <v>687.5</v>
      </c>
      <c r="AA208" s="50">
        <f t="shared" si="73"/>
        <v>4812.5</v>
      </c>
      <c r="AB208" s="50">
        <f t="shared" si="74"/>
        <v>687.5</v>
      </c>
      <c r="AC208" s="50">
        <f t="shared" si="75"/>
        <v>4125</v>
      </c>
      <c r="AD208" s="50">
        <f t="shared" si="76"/>
        <v>687.5</v>
      </c>
      <c r="AE208" s="50">
        <f t="shared" si="77"/>
        <v>3437.5</v>
      </c>
      <c r="AF208" s="50">
        <f t="shared" si="78"/>
        <v>687.5</v>
      </c>
      <c r="AG208" s="51" t="str">
        <f t="shared" si="79"/>
        <v xml:space="preserve">5 MACHINERY,UTILITIESALL </v>
      </c>
      <c r="AH208" s="41"/>
      <c r="AI208" s="51" t="s">
        <v>487</v>
      </c>
      <c r="AJ208" s="51" t="s">
        <v>488</v>
      </c>
    </row>
    <row r="209" spans="1:36" ht="15.95" customHeight="1">
      <c r="A209" s="101" t="s">
        <v>647</v>
      </c>
      <c r="B209" s="102" t="s">
        <v>217</v>
      </c>
      <c r="C209" s="102" t="s">
        <v>619</v>
      </c>
      <c r="D209" s="74" t="s">
        <v>648</v>
      </c>
      <c r="E209" s="104" t="s">
        <v>119</v>
      </c>
      <c r="F209" s="101" t="s">
        <v>72</v>
      </c>
      <c r="G209" s="104" t="s">
        <v>486</v>
      </c>
      <c r="H209" s="104">
        <v>2026</v>
      </c>
      <c r="I209" s="122" t="s">
        <v>55</v>
      </c>
      <c r="J209" s="122"/>
      <c r="K209" s="104">
        <v>1</v>
      </c>
      <c r="L209" s="123">
        <v>8500</v>
      </c>
      <c r="M209" s="48">
        <f>+IF(E209="",0,VLOOKUP(E209,[1]Code!J:K,2,0))</f>
        <v>8</v>
      </c>
      <c r="N209" s="49">
        <f t="shared" si="60"/>
        <v>0.125</v>
      </c>
      <c r="O209" s="50">
        <f t="shared" si="61"/>
        <v>0</v>
      </c>
      <c r="P209" s="50">
        <f t="shared" si="62"/>
        <v>0</v>
      </c>
      <c r="Q209" s="50">
        <f t="shared" si="63"/>
        <v>0</v>
      </c>
      <c r="R209" s="50">
        <f t="shared" si="64"/>
        <v>0</v>
      </c>
      <c r="S209" s="50">
        <f t="shared" si="65"/>
        <v>0</v>
      </c>
      <c r="T209" s="50">
        <f t="shared" si="66"/>
        <v>0</v>
      </c>
      <c r="U209" s="50">
        <f t="shared" si="67"/>
        <v>0</v>
      </c>
      <c r="V209" s="50">
        <f t="shared" si="68"/>
        <v>0</v>
      </c>
      <c r="W209" s="50">
        <f t="shared" si="69"/>
        <v>0</v>
      </c>
      <c r="X209" s="50">
        <f t="shared" si="70"/>
        <v>0</v>
      </c>
      <c r="Y209" s="50">
        <f t="shared" si="71"/>
        <v>8500</v>
      </c>
      <c r="Z209" s="50">
        <f t="shared" si="72"/>
        <v>1062.5</v>
      </c>
      <c r="AA209" s="50">
        <f t="shared" si="73"/>
        <v>7437.5</v>
      </c>
      <c r="AB209" s="50">
        <f t="shared" si="74"/>
        <v>1062.5</v>
      </c>
      <c r="AC209" s="50">
        <f t="shared" si="75"/>
        <v>6375</v>
      </c>
      <c r="AD209" s="50">
        <f t="shared" si="76"/>
        <v>1062.5</v>
      </c>
      <c r="AE209" s="50">
        <f t="shared" si="77"/>
        <v>5312.5</v>
      </c>
      <c r="AF209" s="50">
        <f t="shared" si="78"/>
        <v>1062.5</v>
      </c>
      <c r="AG209" s="51" t="str">
        <f t="shared" si="79"/>
        <v xml:space="preserve">5 MACHINERY,UTILITIESALL </v>
      </c>
      <c r="AH209" s="41"/>
      <c r="AI209" s="51" t="s">
        <v>487</v>
      </c>
      <c r="AJ209" s="51" t="s">
        <v>488</v>
      </c>
    </row>
    <row r="210" spans="1:36" ht="15.95" customHeight="1">
      <c r="A210" s="101" t="s">
        <v>649</v>
      </c>
      <c r="B210" s="102" t="s">
        <v>281</v>
      </c>
      <c r="C210" s="102" t="s">
        <v>281</v>
      </c>
      <c r="D210" s="74" t="s">
        <v>650</v>
      </c>
      <c r="E210" s="104" t="s">
        <v>119</v>
      </c>
      <c r="F210" s="101" t="s">
        <v>72</v>
      </c>
      <c r="G210" s="104" t="s">
        <v>486</v>
      </c>
      <c r="H210" s="104">
        <v>2026</v>
      </c>
      <c r="I210" s="122" t="s">
        <v>400</v>
      </c>
      <c r="J210" s="122"/>
      <c r="K210" s="104">
        <v>1</v>
      </c>
      <c r="L210" s="123">
        <v>500</v>
      </c>
      <c r="M210" s="48">
        <f>+IF(E210="",0,VLOOKUP(E210,[1]Code!J:K,2,0))</f>
        <v>8</v>
      </c>
      <c r="N210" s="49">
        <f t="shared" si="60"/>
        <v>0.125</v>
      </c>
      <c r="O210" s="50">
        <f t="shared" si="61"/>
        <v>0</v>
      </c>
      <c r="P210" s="50">
        <f t="shared" si="62"/>
        <v>0</v>
      </c>
      <c r="Q210" s="50">
        <f t="shared" si="63"/>
        <v>0</v>
      </c>
      <c r="R210" s="50">
        <f t="shared" si="64"/>
        <v>0</v>
      </c>
      <c r="S210" s="50">
        <f t="shared" si="65"/>
        <v>0</v>
      </c>
      <c r="T210" s="50">
        <f t="shared" si="66"/>
        <v>0</v>
      </c>
      <c r="U210" s="50">
        <f t="shared" si="67"/>
        <v>0</v>
      </c>
      <c r="V210" s="50">
        <f t="shared" si="68"/>
        <v>0</v>
      </c>
      <c r="W210" s="50">
        <f t="shared" si="69"/>
        <v>0</v>
      </c>
      <c r="X210" s="50">
        <f t="shared" si="70"/>
        <v>0</v>
      </c>
      <c r="Y210" s="50">
        <f t="shared" si="71"/>
        <v>500</v>
      </c>
      <c r="Z210" s="50">
        <f t="shared" si="72"/>
        <v>62.5</v>
      </c>
      <c r="AA210" s="50">
        <f t="shared" si="73"/>
        <v>437.5</v>
      </c>
      <c r="AB210" s="50">
        <f t="shared" si="74"/>
        <v>62.5</v>
      </c>
      <c r="AC210" s="50">
        <f t="shared" si="75"/>
        <v>375</v>
      </c>
      <c r="AD210" s="50">
        <f t="shared" si="76"/>
        <v>62.5</v>
      </c>
      <c r="AE210" s="50">
        <f t="shared" si="77"/>
        <v>312.5</v>
      </c>
      <c r="AF210" s="50">
        <f t="shared" si="78"/>
        <v>62.5</v>
      </c>
      <c r="AG210" s="51" t="str">
        <f t="shared" si="79"/>
        <v xml:space="preserve">5 MACHINERY,UTILITIESALL </v>
      </c>
      <c r="AH210" s="41"/>
      <c r="AI210" s="51" t="s">
        <v>487</v>
      </c>
      <c r="AJ210" s="51" t="s">
        <v>488</v>
      </c>
    </row>
    <row r="211" spans="1:36" ht="15.95" customHeight="1">
      <c r="A211" s="101" t="s">
        <v>651</v>
      </c>
      <c r="B211" s="102" t="s">
        <v>293</v>
      </c>
      <c r="C211" s="102" t="s">
        <v>619</v>
      </c>
      <c r="D211" s="74" t="s">
        <v>652</v>
      </c>
      <c r="E211" s="104" t="s">
        <v>119</v>
      </c>
      <c r="F211" s="101" t="s">
        <v>72</v>
      </c>
      <c r="G211" s="104" t="s">
        <v>486</v>
      </c>
      <c r="H211" s="104">
        <v>2027</v>
      </c>
      <c r="I211" s="122" t="s">
        <v>646</v>
      </c>
      <c r="J211" s="122"/>
      <c r="K211" s="104">
        <v>1</v>
      </c>
      <c r="L211" s="123">
        <v>30000</v>
      </c>
      <c r="M211" s="48">
        <f>+IF(E211="",0,VLOOKUP(E211,[1]Code!J:K,2,0))</f>
        <v>8</v>
      </c>
      <c r="N211" s="49">
        <f t="shared" si="60"/>
        <v>0.125</v>
      </c>
      <c r="O211" s="50">
        <f t="shared" si="61"/>
        <v>0</v>
      </c>
      <c r="P211" s="50">
        <f t="shared" si="62"/>
        <v>0</v>
      </c>
      <c r="Q211" s="50">
        <f t="shared" si="63"/>
        <v>0</v>
      </c>
      <c r="R211" s="50">
        <f t="shared" si="64"/>
        <v>0</v>
      </c>
      <c r="S211" s="50">
        <f t="shared" si="65"/>
        <v>0</v>
      </c>
      <c r="T211" s="50">
        <f t="shared" si="66"/>
        <v>0</v>
      </c>
      <c r="U211" s="50">
        <f t="shared" si="67"/>
        <v>0</v>
      </c>
      <c r="V211" s="50">
        <f t="shared" si="68"/>
        <v>0</v>
      </c>
      <c r="W211" s="50">
        <f t="shared" si="69"/>
        <v>0</v>
      </c>
      <c r="X211" s="50">
        <f t="shared" si="70"/>
        <v>0</v>
      </c>
      <c r="Y211" s="50">
        <f t="shared" si="71"/>
        <v>30000</v>
      </c>
      <c r="Z211" s="50">
        <f t="shared" si="72"/>
        <v>3750</v>
      </c>
      <c r="AA211" s="50">
        <f t="shared" si="73"/>
        <v>26250</v>
      </c>
      <c r="AB211" s="50">
        <f t="shared" si="74"/>
        <v>3750</v>
      </c>
      <c r="AC211" s="50">
        <f t="shared" si="75"/>
        <v>22500</v>
      </c>
      <c r="AD211" s="50">
        <f t="shared" si="76"/>
        <v>3750</v>
      </c>
      <c r="AE211" s="50">
        <f t="shared" si="77"/>
        <v>18750</v>
      </c>
      <c r="AF211" s="50">
        <f t="shared" si="78"/>
        <v>3750</v>
      </c>
      <c r="AG211" s="51" t="str">
        <f t="shared" si="79"/>
        <v xml:space="preserve">5 MACHINERY,UTILITIESALL </v>
      </c>
      <c r="AH211" s="41"/>
      <c r="AI211" s="51" t="s">
        <v>487</v>
      </c>
      <c r="AJ211" s="51" t="s">
        <v>488</v>
      </c>
    </row>
    <row r="212" spans="1:36" ht="15.95" customHeight="1">
      <c r="A212" s="101" t="s">
        <v>653</v>
      </c>
      <c r="B212" s="102" t="s">
        <v>293</v>
      </c>
      <c r="C212" s="102" t="s">
        <v>619</v>
      </c>
      <c r="D212" s="74" t="s">
        <v>654</v>
      </c>
      <c r="E212" s="104" t="s">
        <v>119</v>
      </c>
      <c r="F212" s="101" t="s">
        <v>72</v>
      </c>
      <c r="G212" s="104" t="s">
        <v>486</v>
      </c>
      <c r="H212" s="104">
        <v>2026</v>
      </c>
      <c r="I212" s="122" t="s">
        <v>400</v>
      </c>
      <c r="J212" s="122"/>
      <c r="K212" s="104">
        <v>1</v>
      </c>
      <c r="L212" s="123">
        <v>4000</v>
      </c>
      <c r="M212" s="48">
        <f>+IF(E212="",0,VLOOKUP(E212,[1]Code!J:K,2,0))</f>
        <v>8</v>
      </c>
      <c r="N212" s="49">
        <f t="shared" si="60"/>
        <v>0.125</v>
      </c>
      <c r="O212" s="50">
        <f t="shared" si="61"/>
        <v>0</v>
      </c>
      <c r="P212" s="50">
        <f t="shared" si="62"/>
        <v>0</v>
      </c>
      <c r="Q212" s="50">
        <f t="shared" si="63"/>
        <v>0</v>
      </c>
      <c r="R212" s="50">
        <f t="shared" si="64"/>
        <v>0</v>
      </c>
      <c r="S212" s="50">
        <f t="shared" si="65"/>
        <v>0</v>
      </c>
      <c r="T212" s="50">
        <f t="shared" si="66"/>
        <v>0</v>
      </c>
      <c r="U212" s="50">
        <f t="shared" si="67"/>
        <v>0</v>
      </c>
      <c r="V212" s="50">
        <f t="shared" si="68"/>
        <v>0</v>
      </c>
      <c r="W212" s="50">
        <f t="shared" si="69"/>
        <v>0</v>
      </c>
      <c r="X212" s="50">
        <f t="shared" si="70"/>
        <v>0</v>
      </c>
      <c r="Y212" s="50">
        <f t="shared" si="71"/>
        <v>4000</v>
      </c>
      <c r="Z212" s="50">
        <f t="shared" si="72"/>
        <v>500</v>
      </c>
      <c r="AA212" s="50">
        <f t="shared" si="73"/>
        <v>3500</v>
      </c>
      <c r="AB212" s="50">
        <f t="shared" si="74"/>
        <v>500</v>
      </c>
      <c r="AC212" s="50">
        <f t="shared" si="75"/>
        <v>3000</v>
      </c>
      <c r="AD212" s="50">
        <f t="shared" si="76"/>
        <v>500</v>
      </c>
      <c r="AE212" s="50">
        <f t="shared" si="77"/>
        <v>2500</v>
      </c>
      <c r="AF212" s="50">
        <f t="shared" si="78"/>
        <v>500</v>
      </c>
      <c r="AG212" s="51" t="str">
        <f t="shared" si="79"/>
        <v xml:space="preserve">5 MACHINERY,UTILITIESALL </v>
      </c>
      <c r="AH212" s="41"/>
      <c r="AI212" s="51" t="s">
        <v>487</v>
      </c>
      <c r="AJ212" s="51" t="s">
        <v>488</v>
      </c>
    </row>
    <row r="213" spans="1:36" ht="15.95" customHeight="1">
      <c r="A213" s="101" t="s">
        <v>655</v>
      </c>
      <c r="B213" s="102" t="s">
        <v>514</v>
      </c>
      <c r="C213" s="102" t="s">
        <v>656</v>
      </c>
      <c r="D213" s="74" t="s">
        <v>657</v>
      </c>
      <c r="E213" s="104" t="s">
        <v>119</v>
      </c>
      <c r="F213" s="101" t="s">
        <v>72</v>
      </c>
      <c r="G213" s="104" t="s">
        <v>486</v>
      </c>
      <c r="H213" s="104">
        <v>2026</v>
      </c>
      <c r="I213" s="122" t="s">
        <v>67</v>
      </c>
      <c r="J213" s="122"/>
      <c r="K213" s="104">
        <v>1</v>
      </c>
      <c r="L213" s="123">
        <v>10000</v>
      </c>
      <c r="M213" s="48">
        <f>+IF(E213="",0,VLOOKUP(E213,[1]Code!J:K,2,0))</f>
        <v>8</v>
      </c>
      <c r="N213" s="49">
        <f t="shared" si="60"/>
        <v>0.125</v>
      </c>
      <c r="O213" s="50">
        <f t="shared" si="61"/>
        <v>0</v>
      </c>
      <c r="P213" s="50">
        <f t="shared" si="62"/>
        <v>0</v>
      </c>
      <c r="Q213" s="50">
        <f t="shared" si="63"/>
        <v>0</v>
      </c>
      <c r="R213" s="50">
        <f t="shared" si="64"/>
        <v>0</v>
      </c>
      <c r="S213" s="50">
        <f t="shared" si="65"/>
        <v>0</v>
      </c>
      <c r="T213" s="50">
        <f t="shared" si="66"/>
        <v>0</v>
      </c>
      <c r="U213" s="50">
        <f t="shared" si="67"/>
        <v>0</v>
      </c>
      <c r="V213" s="50">
        <f t="shared" si="68"/>
        <v>0</v>
      </c>
      <c r="W213" s="50">
        <f t="shared" si="69"/>
        <v>0</v>
      </c>
      <c r="X213" s="50">
        <f t="shared" si="70"/>
        <v>0</v>
      </c>
      <c r="Y213" s="50">
        <f t="shared" si="71"/>
        <v>10000</v>
      </c>
      <c r="Z213" s="50">
        <f t="shared" si="72"/>
        <v>1250</v>
      </c>
      <c r="AA213" s="50">
        <f t="shared" si="73"/>
        <v>8750</v>
      </c>
      <c r="AB213" s="50">
        <f t="shared" si="74"/>
        <v>1250</v>
      </c>
      <c r="AC213" s="50">
        <f t="shared" si="75"/>
        <v>7500</v>
      </c>
      <c r="AD213" s="50">
        <f t="shared" si="76"/>
        <v>1250</v>
      </c>
      <c r="AE213" s="50">
        <f t="shared" si="77"/>
        <v>6250</v>
      </c>
      <c r="AF213" s="50">
        <f t="shared" si="78"/>
        <v>1250</v>
      </c>
      <c r="AG213" s="51" t="str">
        <f t="shared" si="79"/>
        <v xml:space="preserve">5 MACHINERY,UTILITIESALL </v>
      </c>
      <c r="AH213" s="41"/>
      <c r="AI213" s="51" t="s">
        <v>487</v>
      </c>
      <c r="AJ213" s="51" t="s">
        <v>488</v>
      </c>
    </row>
    <row r="214" spans="1:36" ht="15.95" customHeight="1">
      <c r="A214" s="101" t="s">
        <v>658</v>
      </c>
      <c r="B214" s="102" t="s">
        <v>293</v>
      </c>
      <c r="C214" s="102" t="s">
        <v>625</v>
      </c>
      <c r="D214" s="74" t="s">
        <v>659</v>
      </c>
      <c r="E214" s="104" t="s">
        <v>119</v>
      </c>
      <c r="F214" s="101" t="s">
        <v>72</v>
      </c>
      <c r="G214" s="104" t="s">
        <v>486</v>
      </c>
      <c r="H214" s="104">
        <v>2026</v>
      </c>
      <c r="I214" s="122" t="s">
        <v>203</v>
      </c>
      <c r="J214" s="122"/>
      <c r="K214" s="104">
        <v>1</v>
      </c>
      <c r="L214" s="123">
        <v>4000</v>
      </c>
      <c r="M214" s="48">
        <f>+IF(E214="",0,VLOOKUP(E214,[1]Code!J:K,2,0))</f>
        <v>8</v>
      </c>
      <c r="N214" s="49">
        <f t="shared" si="60"/>
        <v>0.125</v>
      </c>
      <c r="O214" s="50">
        <f t="shared" si="61"/>
        <v>0</v>
      </c>
      <c r="P214" s="50">
        <f t="shared" si="62"/>
        <v>0</v>
      </c>
      <c r="Q214" s="50">
        <f t="shared" si="63"/>
        <v>0</v>
      </c>
      <c r="R214" s="50">
        <f t="shared" si="64"/>
        <v>0</v>
      </c>
      <c r="S214" s="50">
        <f t="shared" si="65"/>
        <v>0</v>
      </c>
      <c r="T214" s="50">
        <f t="shared" si="66"/>
        <v>0</v>
      </c>
      <c r="U214" s="50">
        <f t="shared" si="67"/>
        <v>0</v>
      </c>
      <c r="V214" s="50">
        <f t="shared" si="68"/>
        <v>0</v>
      </c>
      <c r="W214" s="50">
        <f t="shared" si="69"/>
        <v>0</v>
      </c>
      <c r="X214" s="50">
        <f t="shared" si="70"/>
        <v>0</v>
      </c>
      <c r="Y214" s="50">
        <f t="shared" si="71"/>
        <v>4000</v>
      </c>
      <c r="Z214" s="50">
        <f t="shared" si="72"/>
        <v>500</v>
      </c>
      <c r="AA214" s="50">
        <f t="shared" si="73"/>
        <v>3500</v>
      </c>
      <c r="AB214" s="50">
        <f t="shared" si="74"/>
        <v>500</v>
      </c>
      <c r="AC214" s="50">
        <f t="shared" si="75"/>
        <v>3000</v>
      </c>
      <c r="AD214" s="50">
        <f t="shared" si="76"/>
        <v>500</v>
      </c>
      <c r="AE214" s="50">
        <f t="shared" si="77"/>
        <v>2500</v>
      </c>
      <c r="AF214" s="50">
        <f t="shared" si="78"/>
        <v>500</v>
      </c>
      <c r="AG214" s="51" t="str">
        <f t="shared" si="79"/>
        <v xml:space="preserve">5 MACHINERY,UTILITIESALL </v>
      </c>
      <c r="AH214" s="41"/>
      <c r="AI214" s="51" t="s">
        <v>487</v>
      </c>
      <c r="AJ214" s="51" t="s">
        <v>488</v>
      </c>
    </row>
    <row r="215" spans="1:36" ht="15.95" customHeight="1">
      <c r="A215" s="101" t="s">
        <v>660</v>
      </c>
      <c r="B215" s="102" t="s">
        <v>293</v>
      </c>
      <c r="C215" s="102" t="s">
        <v>625</v>
      </c>
      <c r="D215" s="74" t="s">
        <v>661</v>
      </c>
      <c r="E215" s="104" t="s">
        <v>119</v>
      </c>
      <c r="F215" s="101" t="s">
        <v>72</v>
      </c>
      <c r="G215" s="104" t="s">
        <v>486</v>
      </c>
      <c r="H215" s="104">
        <v>2026</v>
      </c>
      <c r="I215" s="122" t="s">
        <v>67</v>
      </c>
      <c r="J215" s="122"/>
      <c r="K215" s="104">
        <v>1</v>
      </c>
      <c r="L215" s="123">
        <v>1000</v>
      </c>
      <c r="M215" s="48">
        <f>+IF(E215="",0,VLOOKUP(E215,[1]Code!J:K,2,0))</f>
        <v>8</v>
      </c>
      <c r="N215" s="49">
        <f t="shared" si="60"/>
        <v>0.125</v>
      </c>
      <c r="O215" s="50">
        <f t="shared" si="61"/>
        <v>0</v>
      </c>
      <c r="P215" s="50">
        <f t="shared" si="62"/>
        <v>0</v>
      </c>
      <c r="Q215" s="50">
        <f t="shared" si="63"/>
        <v>0</v>
      </c>
      <c r="R215" s="50">
        <f t="shared" si="64"/>
        <v>0</v>
      </c>
      <c r="S215" s="50">
        <f t="shared" si="65"/>
        <v>0</v>
      </c>
      <c r="T215" s="50">
        <f t="shared" si="66"/>
        <v>0</v>
      </c>
      <c r="U215" s="50">
        <f t="shared" si="67"/>
        <v>0</v>
      </c>
      <c r="V215" s="50">
        <f t="shared" si="68"/>
        <v>0</v>
      </c>
      <c r="W215" s="50">
        <f t="shared" si="69"/>
        <v>0</v>
      </c>
      <c r="X215" s="50">
        <f t="shared" si="70"/>
        <v>0</v>
      </c>
      <c r="Y215" s="50">
        <f t="shared" si="71"/>
        <v>1000</v>
      </c>
      <c r="Z215" s="50">
        <f t="shared" si="72"/>
        <v>125</v>
      </c>
      <c r="AA215" s="50">
        <f t="shared" si="73"/>
        <v>875</v>
      </c>
      <c r="AB215" s="50">
        <f t="shared" si="74"/>
        <v>125</v>
      </c>
      <c r="AC215" s="50">
        <f t="shared" si="75"/>
        <v>750</v>
      </c>
      <c r="AD215" s="50">
        <f t="shared" si="76"/>
        <v>125</v>
      </c>
      <c r="AE215" s="50">
        <f t="shared" si="77"/>
        <v>625</v>
      </c>
      <c r="AF215" s="50">
        <f t="shared" si="78"/>
        <v>125</v>
      </c>
      <c r="AG215" s="51" t="str">
        <f t="shared" si="79"/>
        <v xml:space="preserve">5 MACHINERY,UTILITIESALL </v>
      </c>
      <c r="AH215" s="41"/>
      <c r="AI215" s="51" t="s">
        <v>487</v>
      </c>
      <c r="AJ215" s="51" t="s">
        <v>488</v>
      </c>
    </row>
    <row r="216" spans="1:36" ht="15.95" customHeight="1">
      <c r="A216" s="101" t="s">
        <v>662</v>
      </c>
      <c r="B216" s="102" t="s">
        <v>293</v>
      </c>
      <c r="C216" s="102" t="s">
        <v>625</v>
      </c>
      <c r="D216" s="74" t="s">
        <v>663</v>
      </c>
      <c r="E216" s="104" t="s">
        <v>119</v>
      </c>
      <c r="F216" s="101" t="s">
        <v>72</v>
      </c>
      <c r="G216" s="104" t="s">
        <v>486</v>
      </c>
      <c r="H216" s="104">
        <v>2026</v>
      </c>
      <c r="I216" s="122" t="s">
        <v>203</v>
      </c>
      <c r="J216" s="122"/>
      <c r="K216" s="104">
        <v>1</v>
      </c>
      <c r="L216" s="123">
        <v>1000</v>
      </c>
      <c r="M216" s="48">
        <f>+IF(E216="",0,VLOOKUP(E216,[1]Code!J:K,2,0))</f>
        <v>8</v>
      </c>
      <c r="N216" s="49">
        <f t="shared" si="60"/>
        <v>0.125</v>
      </c>
      <c r="O216" s="50">
        <f t="shared" si="61"/>
        <v>0</v>
      </c>
      <c r="P216" s="50">
        <f t="shared" si="62"/>
        <v>0</v>
      </c>
      <c r="Q216" s="50">
        <f t="shared" si="63"/>
        <v>0</v>
      </c>
      <c r="R216" s="50">
        <f t="shared" si="64"/>
        <v>0</v>
      </c>
      <c r="S216" s="50">
        <f t="shared" si="65"/>
        <v>0</v>
      </c>
      <c r="T216" s="50">
        <f t="shared" si="66"/>
        <v>0</v>
      </c>
      <c r="U216" s="50">
        <f t="shared" si="67"/>
        <v>0</v>
      </c>
      <c r="V216" s="50">
        <f t="shared" si="68"/>
        <v>0</v>
      </c>
      <c r="W216" s="50">
        <f t="shared" si="69"/>
        <v>0</v>
      </c>
      <c r="X216" s="50">
        <f t="shared" si="70"/>
        <v>0</v>
      </c>
      <c r="Y216" s="50">
        <f t="shared" si="71"/>
        <v>1000</v>
      </c>
      <c r="Z216" s="50">
        <f t="shared" si="72"/>
        <v>125</v>
      </c>
      <c r="AA216" s="50">
        <f t="shared" si="73"/>
        <v>875</v>
      </c>
      <c r="AB216" s="50">
        <f t="shared" si="74"/>
        <v>125</v>
      </c>
      <c r="AC216" s="50">
        <f t="shared" si="75"/>
        <v>750</v>
      </c>
      <c r="AD216" s="50">
        <f t="shared" si="76"/>
        <v>125</v>
      </c>
      <c r="AE216" s="50">
        <f t="shared" si="77"/>
        <v>625</v>
      </c>
      <c r="AF216" s="50">
        <f t="shared" si="78"/>
        <v>125</v>
      </c>
      <c r="AG216" s="51" t="str">
        <f t="shared" si="79"/>
        <v xml:space="preserve">5 MACHINERY,UTILITIESALL </v>
      </c>
      <c r="AH216" s="41"/>
      <c r="AI216" s="51" t="s">
        <v>487</v>
      </c>
      <c r="AJ216" s="51" t="s">
        <v>488</v>
      </c>
    </row>
    <row r="217" spans="1:36" ht="15.95" customHeight="1">
      <c r="A217" s="101" t="s">
        <v>664</v>
      </c>
      <c r="B217" s="102" t="s">
        <v>514</v>
      </c>
      <c r="C217" s="102" t="s">
        <v>619</v>
      </c>
      <c r="D217" s="74" t="s">
        <v>665</v>
      </c>
      <c r="E217" s="104" t="s">
        <v>119</v>
      </c>
      <c r="F217" s="101" t="s">
        <v>72</v>
      </c>
      <c r="G217" s="104" t="s">
        <v>486</v>
      </c>
      <c r="H217" s="104">
        <v>2026</v>
      </c>
      <c r="I217" s="122" t="s">
        <v>574</v>
      </c>
      <c r="J217" s="122"/>
      <c r="K217" s="104">
        <v>1</v>
      </c>
      <c r="L217" s="123">
        <v>1500</v>
      </c>
      <c r="M217" s="48">
        <f>+IF(E217="",0,VLOOKUP(E217,[1]Code!J:K,2,0))</f>
        <v>8</v>
      </c>
      <c r="N217" s="49">
        <f t="shared" si="60"/>
        <v>0.125</v>
      </c>
      <c r="O217" s="50">
        <f t="shared" si="61"/>
        <v>0</v>
      </c>
      <c r="P217" s="50">
        <f t="shared" si="62"/>
        <v>0</v>
      </c>
      <c r="Q217" s="50">
        <f t="shared" si="63"/>
        <v>0</v>
      </c>
      <c r="R217" s="50">
        <f t="shared" si="64"/>
        <v>0</v>
      </c>
      <c r="S217" s="50">
        <f t="shared" si="65"/>
        <v>0</v>
      </c>
      <c r="T217" s="50">
        <f t="shared" si="66"/>
        <v>0</v>
      </c>
      <c r="U217" s="50">
        <f t="shared" si="67"/>
        <v>0</v>
      </c>
      <c r="V217" s="50">
        <f t="shared" si="68"/>
        <v>0</v>
      </c>
      <c r="W217" s="50">
        <f t="shared" si="69"/>
        <v>0</v>
      </c>
      <c r="X217" s="50">
        <f t="shared" si="70"/>
        <v>0</v>
      </c>
      <c r="Y217" s="50">
        <f t="shared" si="71"/>
        <v>1500</v>
      </c>
      <c r="Z217" s="50">
        <f t="shared" si="72"/>
        <v>187.5</v>
      </c>
      <c r="AA217" s="50">
        <f t="shared" si="73"/>
        <v>1312.5</v>
      </c>
      <c r="AB217" s="50">
        <f t="shared" si="74"/>
        <v>187.5</v>
      </c>
      <c r="AC217" s="50">
        <f t="shared" si="75"/>
        <v>1125</v>
      </c>
      <c r="AD217" s="50">
        <f t="shared" si="76"/>
        <v>187.5</v>
      </c>
      <c r="AE217" s="50">
        <f t="shared" si="77"/>
        <v>937.5</v>
      </c>
      <c r="AF217" s="50">
        <f t="shared" si="78"/>
        <v>187.5</v>
      </c>
      <c r="AG217" s="51" t="str">
        <f t="shared" si="79"/>
        <v xml:space="preserve">5 MACHINERY,UTILITIESALL </v>
      </c>
      <c r="AH217" s="41"/>
      <c r="AI217" s="51" t="s">
        <v>487</v>
      </c>
      <c r="AJ217" s="51" t="s">
        <v>488</v>
      </c>
    </row>
    <row r="218" spans="1:36" ht="15.95" customHeight="1">
      <c r="A218" s="101" t="s">
        <v>666</v>
      </c>
      <c r="B218" s="102" t="s">
        <v>514</v>
      </c>
      <c r="C218" s="102" t="s">
        <v>619</v>
      </c>
      <c r="D218" s="74" t="s">
        <v>667</v>
      </c>
      <c r="E218" s="104" t="s">
        <v>119</v>
      </c>
      <c r="F218" s="101" t="s">
        <v>72</v>
      </c>
      <c r="G218" s="104" t="s">
        <v>486</v>
      </c>
      <c r="H218" s="104">
        <v>2027</v>
      </c>
      <c r="I218" s="122" t="s">
        <v>646</v>
      </c>
      <c r="J218" s="122"/>
      <c r="K218" s="104">
        <v>1</v>
      </c>
      <c r="L218" s="123">
        <v>5000</v>
      </c>
      <c r="M218" s="48">
        <f>+IF(E218="",0,VLOOKUP(E218,[1]Code!J:K,2,0))</f>
        <v>8</v>
      </c>
      <c r="N218" s="49">
        <f t="shared" si="60"/>
        <v>0.125</v>
      </c>
      <c r="O218" s="50">
        <f t="shared" si="61"/>
        <v>0</v>
      </c>
      <c r="P218" s="50">
        <f t="shared" si="62"/>
        <v>0</v>
      </c>
      <c r="Q218" s="50">
        <f t="shared" si="63"/>
        <v>0</v>
      </c>
      <c r="R218" s="50">
        <f t="shared" si="64"/>
        <v>0</v>
      </c>
      <c r="S218" s="50">
        <f t="shared" si="65"/>
        <v>0</v>
      </c>
      <c r="T218" s="50">
        <f t="shared" si="66"/>
        <v>0</v>
      </c>
      <c r="U218" s="50">
        <f t="shared" si="67"/>
        <v>0</v>
      </c>
      <c r="V218" s="50">
        <f t="shared" si="68"/>
        <v>0</v>
      </c>
      <c r="W218" s="50">
        <f t="shared" si="69"/>
        <v>0</v>
      </c>
      <c r="X218" s="50">
        <f t="shared" si="70"/>
        <v>0</v>
      </c>
      <c r="Y218" s="50">
        <f t="shared" si="71"/>
        <v>5000</v>
      </c>
      <c r="Z218" s="50">
        <f t="shared" si="72"/>
        <v>625</v>
      </c>
      <c r="AA218" s="50">
        <f t="shared" si="73"/>
        <v>4375</v>
      </c>
      <c r="AB218" s="50">
        <f t="shared" si="74"/>
        <v>625</v>
      </c>
      <c r="AC218" s="50">
        <f t="shared" si="75"/>
        <v>3750</v>
      </c>
      <c r="AD218" s="50">
        <f t="shared" si="76"/>
        <v>625</v>
      </c>
      <c r="AE218" s="50">
        <f t="shared" si="77"/>
        <v>3125</v>
      </c>
      <c r="AF218" s="50">
        <f t="shared" si="78"/>
        <v>625</v>
      </c>
      <c r="AG218" s="51" t="str">
        <f t="shared" si="79"/>
        <v xml:space="preserve">5 MACHINERY,UTILITIESALL </v>
      </c>
      <c r="AH218" s="41"/>
      <c r="AI218" s="51" t="s">
        <v>487</v>
      </c>
      <c r="AJ218" s="51" t="s">
        <v>488</v>
      </c>
    </row>
    <row r="219" spans="1:36" ht="15.95" customHeight="1">
      <c r="A219" s="101" t="s">
        <v>668</v>
      </c>
      <c r="B219" s="102" t="s">
        <v>514</v>
      </c>
      <c r="C219" s="102" t="s">
        <v>217</v>
      </c>
      <c r="D219" s="74" t="s">
        <v>669</v>
      </c>
      <c r="E219" s="104" t="s">
        <v>119</v>
      </c>
      <c r="F219" s="101" t="s">
        <v>72</v>
      </c>
      <c r="G219" s="104" t="s">
        <v>486</v>
      </c>
      <c r="H219" s="104">
        <v>2026</v>
      </c>
      <c r="I219" s="122" t="s">
        <v>414</v>
      </c>
      <c r="J219" s="122"/>
      <c r="K219" s="104">
        <v>1</v>
      </c>
      <c r="L219" s="123">
        <v>2000</v>
      </c>
      <c r="M219" s="48">
        <f>+IF(E219="",0,VLOOKUP(E219,[1]Code!J:K,2,0))</f>
        <v>8</v>
      </c>
      <c r="N219" s="49">
        <f t="shared" si="60"/>
        <v>0.125</v>
      </c>
      <c r="O219" s="50">
        <f t="shared" si="61"/>
        <v>0</v>
      </c>
      <c r="P219" s="50">
        <f t="shared" si="62"/>
        <v>0</v>
      </c>
      <c r="Q219" s="50">
        <f t="shared" si="63"/>
        <v>0</v>
      </c>
      <c r="R219" s="50">
        <f t="shared" si="64"/>
        <v>0</v>
      </c>
      <c r="S219" s="50">
        <f t="shared" si="65"/>
        <v>0</v>
      </c>
      <c r="T219" s="50">
        <f t="shared" si="66"/>
        <v>0</v>
      </c>
      <c r="U219" s="50">
        <f t="shared" si="67"/>
        <v>0</v>
      </c>
      <c r="V219" s="50">
        <f t="shared" si="68"/>
        <v>0</v>
      </c>
      <c r="W219" s="50">
        <f t="shared" si="69"/>
        <v>0</v>
      </c>
      <c r="X219" s="50">
        <f t="shared" si="70"/>
        <v>0</v>
      </c>
      <c r="Y219" s="50">
        <f t="shared" si="71"/>
        <v>2000</v>
      </c>
      <c r="Z219" s="50">
        <f t="shared" si="72"/>
        <v>250</v>
      </c>
      <c r="AA219" s="50">
        <f t="shared" si="73"/>
        <v>1750</v>
      </c>
      <c r="AB219" s="50">
        <f t="shared" si="74"/>
        <v>250</v>
      </c>
      <c r="AC219" s="50">
        <f t="shared" si="75"/>
        <v>1500</v>
      </c>
      <c r="AD219" s="50">
        <f t="shared" si="76"/>
        <v>250</v>
      </c>
      <c r="AE219" s="50">
        <f t="shared" si="77"/>
        <v>1250</v>
      </c>
      <c r="AF219" s="50">
        <f t="shared" si="78"/>
        <v>250</v>
      </c>
      <c r="AG219" s="51" t="str">
        <f t="shared" si="79"/>
        <v xml:space="preserve">5 MACHINERY,UTILITIESALL </v>
      </c>
      <c r="AH219" s="41"/>
      <c r="AI219" s="51" t="s">
        <v>487</v>
      </c>
      <c r="AJ219" s="51" t="s">
        <v>488</v>
      </c>
    </row>
    <row r="220" spans="1:36" ht="15.95" customHeight="1">
      <c r="A220" s="101" t="s">
        <v>670</v>
      </c>
      <c r="B220" s="110" t="s">
        <v>514</v>
      </c>
      <c r="C220" s="102" t="s">
        <v>671</v>
      </c>
      <c r="D220" s="74" t="s">
        <v>672</v>
      </c>
      <c r="E220" s="104" t="s">
        <v>119</v>
      </c>
      <c r="F220" s="101" t="s">
        <v>72</v>
      </c>
      <c r="G220" s="104" t="s">
        <v>486</v>
      </c>
      <c r="H220" s="104">
        <v>2026</v>
      </c>
      <c r="I220" s="122" t="s">
        <v>532</v>
      </c>
      <c r="J220" s="101"/>
      <c r="K220" s="101">
        <v>1</v>
      </c>
      <c r="L220" s="106">
        <v>5000</v>
      </c>
      <c r="M220" s="48">
        <f>+IF(E220="",0,VLOOKUP(E220,[1]Code!J:K,2,0))</f>
        <v>8</v>
      </c>
      <c r="N220" s="49">
        <f t="shared" si="60"/>
        <v>0.125</v>
      </c>
      <c r="O220" s="50">
        <f t="shared" si="61"/>
        <v>0</v>
      </c>
      <c r="P220" s="50">
        <f t="shared" si="62"/>
        <v>0</v>
      </c>
      <c r="Q220" s="50">
        <f t="shared" si="63"/>
        <v>0</v>
      </c>
      <c r="R220" s="50">
        <f t="shared" si="64"/>
        <v>0</v>
      </c>
      <c r="S220" s="50">
        <f t="shared" si="65"/>
        <v>0</v>
      </c>
      <c r="T220" s="50">
        <f t="shared" si="66"/>
        <v>0</v>
      </c>
      <c r="U220" s="50">
        <f t="shared" si="67"/>
        <v>0</v>
      </c>
      <c r="V220" s="50">
        <f t="shared" si="68"/>
        <v>0</v>
      </c>
      <c r="W220" s="50">
        <f t="shared" si="69"/>
        <v>0</v>
      </c>
      <c r="X220" s="50">
        <f t="shared" si="70"/>
        <v>0</v>
      </c>
      <c r="Y220" s="50">
        <f t="shared" si="71"/>
        <v>5000</v>
      </c>
      <c r="Z220" s="50">
        <f t="shared" si="72"/>
        <v>625</v>
      </c>
      <c r="AA220" s="50">
        <f t="shared" si="73"/>
        <v>4375</v>
      </c>
      <c r="AB220" s="50">
        <f t="shared" si="74"/>
        <v>625</v>
      </c>
      <c r="AC220" s="50">
        <f t="shared" si="75"/>
        <v>3750</v>
      </c>
      <c r="AD220" s="50">
        <f t="shared" si="76"/>
        <v>625</v>
      </c>
      <c r="AE220" s="50">
        <f t="shared" si="77"/>
        <v>3125</v>
      </c>
      <c r="AF220" s="50">
        <f t="shared" si="78"/>
        <v>625</v>
      </c>
      <c r="AG220" s="51" t="str">
        <f t="shared" si="79"/>
        <v xml:space="preserve">5 MACHINERY,UTILITIESALL </v>
      </c>
      <c r="AH220" s="41"/>
      <c r="AI220" s="51" t="s">
        <v>487</v>
      </c>
      <c r="AJ220" s="51" t="s">
        <v>488</v>
      </c>
    </row>
    <row r="221" spans="1:36" ht="15.95" customHeight="1">
      <c r="A221" s="124" t="s">
        <v>673</v>
      </c>
      <c r="B221" s="84" t="s">
        <v>225</v>
      </c>
      <c r="C221" s="55" t="s">
        <v>674</v>
      </c>
      <c r="D221" s="52" t="s">
        <v>675</v>
      </c>
      <c r="E221" s="42" t="s">
        <v>353</v>
      </c>
      <c r="F221" s="42" t="s">
        <v>477</v>
      </c>
      <c r="G221" s="42" t="s">
        <v>676</v>
      </c>
      <c r="H221" s="124">
        <v>2027</v>
      </c>
      <c r="I221" s="125" t="s">
        <v>677</v>
      </c>
      <c r="J221" s="126"/>
      <c r="K221" s="127">
        <v>1</v>
      </c>
      <c r="L221" s="47">
        <v>3000</v>
      </c>
      <c r="M221" s="48">
        <f>+IF(E221="",0,VLOOKUP(E221,[1]Code!J:K,2,0))</f>
        <v>5</v>
      </c>
      <c r="N221" s="49">
        <f t="shared" si="60"/>
        <v>0.2</v>
      </c>
      <c r="O221" s="50">
        <f t="shared" si="61"/>
        <v>0</v>
      </c>
      <c r="P221" s="50">
        <f t="shared" si="62"/>
        <v>0</v>
      </c>
      <c r="Q221" s="50">
        <f t="shared" si="63"/>
        <v>0</v>
      </c>
      <c r="R221" s="50">
        <f t="shared" si="64"/>
        <v>0</v>
      </c>
      <c r="S221" s="50">
        <f t="shared" si="65"/>
        <v>0</v>
      </c>
      <c r="T221" s="50">
        <f t="shared" si="66"/>
        <v>0</v>
      </c>
      <c r="U221" s="50">
        <f t="shared" si="67"/>
        <v>0</v>
      </c>
      <c r="V221" s="50">
        <f t="shared" si="68"/>
        <v>0</v>
      </c>
      <c r="W221" s="50">
        <f t="shared" si="69"/>
        <v>0</v>
      </c>
      <c r="X221" s="50">
        <f t="shared" si="70"/>
        <v>0</v>
      </c>
      <c r="Y221" s="50">
        <f t="shared" si="71"/>
        <v>3000</v>
      </c>
      <c r="Z221" s="50">
        <f t="shared" si="72"/>
        <v>600</v>
      </c>
      <c r="AA221" s="50">
        <f t="shared" si="73"/>
        <v>2400</v>
      </c>
      <c r="AB221" s="50">
        <f t="shared" si="74"/>
        <v>600</v>
      </c>
      <c r="AC221" s="50">
        <f t="shared" si="75"/>
        <v>1800</v>
      </c>
      <c r="AD221" s="50">
        <f t="shared" si="76"/>
        <v>600</v>
      </c>
      <c r="AE221" s="50">
        <f t="shared" si="77"/>
        <v>1200</v>
      </c>
      <c r="AF221" s="50">
        <f t="shared" si="78"/>
        <v>600</v>
      </c>
      <c r="AG221" s="51" t="str">
        <f t="shared" si="79"/>
        <v>9 DIESXF3P1</v>
      </c>
      <c r="AH221" s="41"/>
      <c r="AI221" s="51" t="s">
        <v>678</v>
      </c>
      <c r="AJ221" s="51" t="s">
        <v>679</v>
      </c>
    </row>
    <row r="222" spans="1:36" ht="15.95" customHeight="1">
      <c r="A222" s="124" t="s">
        <v>680</v>
      </c>
      <c r="B222" s="88" t="s">
        <v>281</v>
      </c>
      <c r="C222" s="55" t="s">
        <v>681</v>
      </c>
      <c r="D222" s="52" t="s">
        <v>682</v>
      </c>
      <c r="E222" s="42" t="s">
        <v>103</v>
      </c>
      <c r="F222" s="42" t="s">
        <v>477</v>
      </c>
      <c r="G222" s="42" t="s">
        <v>676</v>
      </c>
      <c r="H222" s="124">
        <v>2027</v>
      </c>
      <c r="I222" s="125" t="s">
        <v>683</v>
      </c>
      <c r="J222" s="126"/>
      <c r="K222" s="127">
        <v>1</v>
      </c>
      <c r="L222" s="47">
        <v>2800</v>
      </c>
      <c r="M222" s="48">
        <f>+IF(E222="",0,VLOOKUP(E222,[1]Code!J:K,2,0))</f>
        <v>5</v>
      </c>
      <c r="N222" s="49">
        <f t="shared" si="60"/>
        <v>0.2</v>
      </c>
      <c r="O222" s="50">
        <f t="shared" si="61"/>
        <v>0</v>
      </c>
      <c r="P222" s="50">
        <f t="shared" si="62"/>
        <v>0</v>
      </c>
      <c r="Q222" s="50">
        <f t="shared" si="63"/>
        <v>0</v>
      </c>
      <c r="R222" s="50">
        <f t="shared" si="64"/>
        <v>0</v>
      </c>
      <c r="S222" s="50">
        <f t="shared" si="65"/>
        <v>0</v>
      </c>
      <c r="T222" s="50">
        <f t="shared" si="66"/>
        <v>0</v>
      </c>
      <c r="U222" s="50">
        <f t="shared" si="67"/>
        <v>0</v>
      </c>
      <c r="V222" s="50">
        <f t="shared" si="68"/>
        <v>0</v>
      </c>
      <c r="W222" s="50">
        <f t="shared" si="69"/>
        <v>0</v>
      </c>
      <c r="X222" s="50">
        <f t="shared" si="70"/>
        <v>0</v>
      </c>
      <c r="Y222" s="50">
        <f t="shared" si="71"/>
        <v>2800</v>
      </c>
      <c r="Z222" s="50">
        <f t="shared" si="72"/>
        <v>560</v>
      </c>
      <c r="AA222" s="50">
        <f t="shared" si="73"/>
        <v>2240</v>
      </c>
      <c r="AB222" s="50">
        <f t="shared" si="74"/>
        <v>560</v>
      </c>
      <c r="AC222" s="50">
        <f t="shared" si="75"/>
        <v>1680</v>
      </c>
      <c r="AD222" s="50">
        <f t="shared" si="76"/>
        <v>560</v>
      </c>
      <c r="AE222" s="50">
        <f t="shared" si="77"/>
        <v>1120</v>
      </c>
      <c r="AF222" s="50">
        <f t="shared" si="78"/>
        <v>560</v>
      </c>
      <c r="AG222" s="51" t="str">
        <f t="shared" si="79"/>
        <v>9 TOOLSXF3P1</v>
      </c>
      <c r="AH222" s="41"/>
      <c r="AI222" s="51" t="s">
        <v>678</v>
      </c>
      <c r="AJ222" s="51" t="s">
        <v>679</v>
      </c>
    </row>
    <row r="223" spans="1:36" ht="15.95" customHeight="1">
      <c r="A223" s="124" t="s">
        <v>684</v>
      </c>
      <c r="B223" s="85" t="s">
        <v>277</v>
      </c>
      <c r="C223" s="55" t="s">
        <v>685</v>
      </c>
      <c r="D223" s="52" t="s">
        <v>686</v>
      </c>
      <c r="E223" s="42" t="s">
        <v>119</v>
      </c>
      <c r="F223" s="42" t="s">
        <v>477</v>
      </c>
      <c r="G223" s="42" t="s">
        <v>676</v>
      </c>
      <c r="H223" s="124">
        <v>2027</v>
      </c>
      <c r="I223" s="125" t="s">
        <v>687</v>
      </c>
      <c r="J223" s="126"/>
      <c r="K223" s="127">
        <v>1</v>
      </c>
      <c r="L223" s="47">
        <v>2500</v>
      </c>
      <c r="M223" s="48">
        <f>+IF(E223="",0,VLOOKUP(E223,[1]Code!J:K,2,0))</f>
        <v>8</v>
      </c>
      <c r="N223" s="49">
        <f t="shared" si="60"/>
        <v>0.125</v>
      </c>
      <c r="O223" s="50">
        <f t="shared" si="61"/>
        <v>0</v>
      </c>
      <c r="P223" s="50">
        <f t="shared" si="62"/>
        <v>0</v>
      </c>
      <c r="Q223" s="50">
        <f t="shared" si="63"/>
        <v>0</v>
      </c>
      <c r="R223" s="50">
        <f t="shared" si="64"/>
        <v>0</v>
      </c>
      <c r="S223" s="50">
        <f t="shared" si="65"/>
        <v>0</v>
      </c>
      <c r="T223" s="50">
        <f t="shared" si="66"/>
        <v>0</v>
      </c>
      <c r="U223" s="50">
        <f t="shared" si="67"/>
        <v>0</v>
      </c>
      <c r="V223" s="50">
        <f t="shared" si="68"/>
        <v>0</v>
      </c>
      <c r="W223" s="50">
        <f t="shared" si="69"/>
        <v>0</v>
      </c>
      <c r="X223" s="50">
        <f t="shared" si="70"/>
        <v>0</v>
      </c>
      <c r="Y223" s="50">
        <f t="shared" si="71"/>
        <v>2500</v>
      </c>
      <c r="Z223" s="50">
        <f t="shared" si="72"/>
        <v>312.5</v>
      </c>
      <c r="AA223" s="50">
        <f t="shared" si="73"/>
        <v>2187.5</v>
      </c>
      <c r="AB223" s="50">
        <f t="shared" si="74"/>
        <v>312.5</v>
      </c>
      <c r="AC223" s="50">
        <f t="shared" si="75"/>
        <v>1875</v>
      </c>
      <c r="AD223" s="50">
        <f t="shared" si="76"/>
        <v>312.5</v>
      </c>
      <c r="AE223" s="50">
        <f t="shared" si="77"/>
        <v>1562.5</v>
      </c>
      <c r="AF223" s="50">
        <f t="shared" si="78"/>
        <v>312.5</v>
      </c>
      <c r="AG223" s="51" t="str">
        <f t="shared" si="79"/>
        <v>5 MACHINERY,UTILITIESXF3P1</v>
      </c>
      <c r="AH223" s="41"/>
      <c r="AI223" s="51" t="s">
        <v>678</v>
      </c>
      <c r="AJ223" s="51" t="s">
        <v>679</v>
      </c>
    </row>
    <row r="224" spans="1:36" ht="15.95" customHeight="1">
      <c r="A224" s="124" t="s">
        <v>688</v>
      </c>
      <c r="B224" s="84" t="s">
        <v>281</v>
      </c>
      <c r="C224" s="55" t="s">
        <v>689</v>
      </c>
      <c r="D224" s="44" t="s">
        <v>690</v>
      </c>
      <c r="E224" s="42" t="s">
        <v>119</v>
      </c>
      <c r="F224" s="42" t="s">
        <v>477</v>
      </c>
      <c r="G224" s="42" t="s">
        <v>676</v>
      </c>
      <c r="H224" s="124">
        <v>2027</v>
      </c>
      <c r="I224" s="125" t="s">
        <v>683</v>
      </c>
      <c r="J224" s="126"/>
      <c r="K224" s="127">
        <v>1</v>
      </c>
      <c r="L224" s="47">
        <v>1000</v>
      </c>
      <c r="M224" s="48">
        <f>+IF(E224="",0,VLOOKUP(E224,[1]Code!J:K,2,0))</f>
        <v>8</v>
      </c>
      <c r="N224" s="49">
        <f t="shared" si="60"/>
        <v>0.125</v>
      </c>
      <c r="O224" s="50">
        <f t="shared" si="61"/>
        <v>0</v>
      </c>
      <c r="P224" s="50">
        <f t="shared" si="62"/>
        <v>0</v>
      </c>
      <c r="Q224" s="50">
        <f t="shared" si="63"/>
        <v>0</v>
      </c>
      <c r="R224" s="50">
        <f t="shared" si="64"/>
        <v>0</v>
      </c>
      <c r="S224" s="50">
        <f t="shared" si="65"/>
        <v>0</v>
      </c>
      <c r="T224" s="50">
        <f t="shared" si="66"/>
        <v>0</v>
      </c>
      <c r="U224" s="50">
        <f t="shared" si="67"/>
        <v>0</v>
      </c>
      <c r="V224" s="50">
        <f t="shared" si="68"/>
        <v>0</v>
      </c>
      <c r="W224" s="50">
        <f t="shared" si="69"/>
        <v>0</v>
      </c>
      <c r="X224" s="50">
        <f t="shared" si="70"/>
        <v>0</v>
      </c>
      <c r="Y224" s="50">
        <f t="shared" si="71"/>
        <v>1000</v>
      </c>
      <c r="Z224" s="50">
        <f t="shared" si="72"/>
        <v>125</v>
      </c>
      <c r="AA224" s="50">
        <f t="shared" si="73"/>
        <v>875</v>
      </c>
      <c r="AB224" s="50">
        <f t="shared" si="74"/>
        <v>125</v>
      </c>
      <c r="AC224" s="50">
        <f t="shared" si="75"/>
        <v>750</v>
      </c>
      <c r="AD224" s="50">
        <f t="shared" si="76"/>
        <v>125</v>
      </c>
      <c r="AE224" s="50">
        <f t="shared" si="77"/>
        <v>625</v>
      </c>
      <c r="AF224" s="50">
        <f t="shared" si="78"/>
        <v>125</v>
      </c>
      <c r="AG224" s="51" t="str">
        <f t="shared" si="79"/>
        <v>5 MACHINERY,UTILITIESXF3P1</v>
      </c>
      <c r="AH224" s="41"/>
      <c r="AI224" s="51" t="s">
        <v>678</v>
      </c>
      <c r="AJ224" s="51" t="s">
        <v>679</v>
      </c>
    </row>
    <row r="225" spans="1:36" ht="15.95" customHeight="1">
      <c r="A225" s="124" t="s">
        <v>691</v>
      </c>
      <c r="B225" s="84" t="s">
        <v>281</v>
      </c>
      <c r="C225" s="55" t="s">
        <v>692</v>
      </c>
      <c r="D225" s="44" t="s">
        <v>693</v>
      </c>
      <c r="E225" s="42" t="s">
        <v>119</v>
      </c>
      <c r="F225" s="42" t="s">
        <v>477</v>
      </c>
      <c r="G225" s="42" t="s">
        <v>676</v>
      </c>
      <c r="H225" s="124">
        <v>2027</v>
      </c>
      <c r="I225" s="125" t="s">
        <v>687</v>
      </c>
      <c r="J225" s="126"/>
      <c r="K225" s="127">
        <v>1</v>
      </c>
      <c r="L225" s="47">
        <v>4000</v>
      </c>
      <c r="M225" s="48">
        <f>+IF(E225="",0,VLOOKUP(E225,[1]Code!J:K,2,0))</f>
        <v>8</v>
      </c>
      <c r="N225" s="49">
        <f t="shared" si="60"/>
        <v>0.125</v>
      </c>
      <c r="O225" s="50">
        <f t="shared" si="61"/>
        <v>0</v>
      </c>
      <c r="P225" s="50">
        <f t="shared" si="62"/>
        <v>0</v>
      </c>
      <c r="Q225" s="50">
        <f t="shared" si="63"/>
        <v>0</v>
      </c>
      <c r="R225" s="50">
        <f t="shared" si="64"/>
        <v>0</v>
      </c>
      <c r="S225" s="50">
        <f t="shared" si="65"/>
        <v>0</v>
      </c>
      <c r="T225" s="50">
        <f t="shared" si="66"/>
        <v>0</v>
      </c>
      <c r="U225" s="50">
        <f t="shared" si="67"/>
        <v>0</v>
      </c>
      <c r="V225" s="50">
        <f t="shared" si="68"/>
        <v>0</v>
      </c>
      <c r="W225" s="50">
        <f t="shared" si="69"/>
        <v>0</v>
      </c>
      <c r="X225" s="50">
        <f t="shared" si="70"/>
        <v>0</v>
      </c>
      <c r="Y225" s="50">
        <f t="shared" si="71"/>
        <v>4000</v>
      </c>
      <c r="Z225" s="50">
        <f t="shared" si="72"/>
        <v>500</v>
      </c>
      <c r="AA225" s="50">
        <f t="shared" si="73"/>
        <v>3500</v>
      </c>
      <c r="AB225" s="50">
        <f t="shared" si="74"/>
        <v>500</v>
      </c>
      <c r="AC225" s="50">
        <f t="shared" si="75"/>
        <v>3000</v>
      </c>
      <c r="AD225" s="50">
        <f t="shared" si="76"/>
        <v>500</v>
      </c>
      <c r="AE225" s="50">
        <f t="shared" si="77"/>
        <v>2500</v>
      </c>
      <c r="AF225" s="50">
        <f t="shared" si="78"/>
        <v>500</v>
      </c>
      <c r="AG225" s="51" t="str">
        <f t="shared" si="79"/>
        <v>5 MACHINERY,UTILITIESXF3P1</v>
      </c>
      <c r="AH225" s="41"/>
      <c r="AI225" s="51" t="s">
        <v>678</v>
      </c>
      <c r="AJ225" s="51" t="s">
        <v>679</v>
      </c>
    </row>
    <row r="226" spans="1:36" ht="15.95" customHeight="1">
      <c r="A226" s="124" t="s">
        <v>694</v>
      </c>
      <c r="B226" s="84" t="s">
        <v>225</v>
      </c>
      <c r="C226" s="55" t="s">
        <v>695</v>
      </c>
      <c r="D226" s="44" t="s">
        <v>696</v>
      </c>
      <c r="E226" s="42" t="s">
        <v>119</v>
      </c>
      <c r="F226" s="42" t="s">
        <v>477</v>
      </c>
      <c r="G226" s="42" t="s">
        <v>676</v>
      </c>
      <c r="H226" s="124">
        <v>2027</v>
      </c>
      <c r="I226" s="125" t="s">
        <v>687</v>
      </c>
      <c r="J226" s="126"/>
      <c r="K226" s="127">
        <v>1</v>
      </c>
      <c r="L226" s="47">
        <v>800</v>
      </c>
      <c r="M226" s="48">
        <f>+IF(E226="",0,VLOOKUP(E226,[1]Code!J:K,2,0))</f>
        <v>8</v>
      </c>
      <c r="N226" s="49">
        <f t="shared" si="60"/>
        <v>0.125</v>
      </c>
      <c r="O226" s="50">
        <f t="shared" si="61"/>
        <v>0</v>
      </c>
      <c r="P226" s="50">
        <f t="shared" si="62"/>
        <v>0</v>
      </c>
      <c r="Q226" s="50">
        <f t="shared" si="63"/>
        <v>0</v>
      </c>
      <c r="R226" s="50">
        <f t="shared" si="64"/>
        <v>0</v>
      </c>
      <c r="S226" s="50">
        <f t="shared" si="65"/>
        <v>0</v>
      </c>
      <c r="T226" s="50">
        <f t="shared" si="66"/>
        <v>0</v>
      </c>
      <c r="U226" s="50">
        <f t="shared" si="67"/>
        <v>0</v>
      </c>
      <c r="V226" s="50">
        <f t="shared" si="68"/>
        <v>0</v>
      </c>
      <c r="W226" s="50">
        <f t="shared" si="69"/>
        <v>0</v>
      </c>
      <c r="X226" s="50">
        <f t="shared" si="70"/>
        <v>0</v>
      </c>
      <c r="Y226" s="50">
        <f t="shared" si="71"/>
        <v>800</v>
      </c>
      <c r="Z226" s="50">
        <f t="shared" si="72"/>
        <v>100</v>
      </c>
      <c r="AA226" s="50">
        <f t="shared" si="73"/>
        <v>700</v>
      </c>
      <c r="AB226" s="50">
        <f t="shared" si="74"/>
        <v>100</v>
      </c>
      <c r="AC226" s="50">
        <f t="shared" si="75"/>
        <v>600</v>
      </c>
      <c r="AD226" s="50">
        <f t="shared" si="76"/>
        <v>100</v>
      </c>
      <c r="AE226" s="50">
        <f t="shared" si="77"/>
        <v>500</v>
      </c>
      <c r="AF226" s="50">
        <f t="shared" si="78"/>
        <v>100</v>
      </c>
      <c r="AG226" s="51" t="str">
        <f t="shared" si="79"/>
        <v>5 MACHINERY,UTILITIESXF3P1</v>
      </c>
      <c r="AH226" s="41"/>
      <c r="AI226" s="51" t="s">
        <v>678</v>
      </c>
      <c r="AJ226" s="51" t="s">
        <v>679</v>
      </c>
    </row>
    <row r="227" spans="1:36" ht="15.95" customHeight="1">
      <c r="A227" s="124" t="s">
        <v>697</v>
      </c>
      <c r="B227" s="84" t="s">
        <v>217</v>
      </c>
      <c r="C227" s="55" t="s">
        <v>698</v>
      </c>
      <c r="D227" s="44" t="s">
        <v>451</v>
      </c>
      <c r="E227" s="42" t="s">
        <v>119</v>
      </c>
      <c r="F227" s="42" t="s">
        <v>72</v>
      </c>
      <c r="G227" s="67" t="s">
        <v>699</v>
      </c>
      <c r="H227" s="124">
        <v>2026</v>
      </c>
      <c r="I227" s="125" t="s">
        <v>73</v>
      </c>
      <c r="J227" s="126"/>
      <c r="K227" s="127">
        <v>1</v>
      </c>
      <c r="L227" s="47">
        <v>850</v>
      </c>
      <c r="M227" s="48">
        <f>+IF(E227="",0,VLOOKUP(E227,[1]Code!J:K,2,0))</f>
        <v>8</v>
      </c>
      <c r="N227" s="49">
        <f t="shared" si="60"/>
        <v>0.125</v>
      </c>
      <c r="O227" s="50">
        <f t="shared" si="61"/>
        <v>0</v>
      </c>
      <c r="P227" s="50">
        <f t="shared" si="62"/>
        <v>0</v>
      </c>
      <c r="Q227" s="50">
        <f t="shared" si="63"/>
        <v>0</v>
      </c>
      <c r="R227" s="50">
        <f t="shared" si="64"/>
        <v>0</v>
      </c>
      <c r="S227" s="50">
        <f t="shared" si="65"/>
        <v>0</v>
      </c>
      <c r="T227" s="50">
        <f t="shared" si="66"/>
        <v>0</v>
      </c>
      <c r="U227" s="50">
        <f t="shared" si="67"/>
        <v>0</v>
      </c>
      <c r="V227" s="50">
        <f t="shared" si="68"/>
        <v>0</v>
      </c>
      <c r="W227" s="50">
        <f t="shared" si="69"/>
        <v>0</v>
      </c>
      <c r="X227" s="50">
        <f t="shared" si="70"/>
        <v>0</v>
      </c>
      <c r="Y227" s="50">
        <f t="shared" si="71"/>
        <v>850</v>
      </c>
      <c r="Z227" s="50">
        <f t="shared" si="72"/>
        <v>106.25</v>
      </c>
      <c r="AA227" s="50">
        <f t="shared" si="73"/>
        <v>743.75</v>
      </c>
      <c r="AB227" s="50">
        <f t="shared" si="74"/>
        <v>106.25</v>
      </c>
      <c r="AC227" s="50">
        <f t="shared" si="75"/>
        <v>637.5</v>
      </c>
      <c r="AD227" s="50">
        <f t="shared" si="76"/>
        <v>106.25</v>
      </c>
      <c r="AE227" s="50">
        <f t="shared" si="77"/>
        <v>531.25</v>
      </c>
      <c r="AF227" s="50">
        <f t="shared" si="78"/>
        <v>106.25</v>
      </c>
      <c r="AG227" s="51" t="str">
        <f t="shared" si="79"/>
        <v xml:space="preserve">5 MACHINERY,UTILITIESALL </v>
      </c>
      <c r="AH227" s="41"/>
      <c r="AI227" s="51" t="s">
        <v>678</v>
      </c>
      <c r="AJ227" s="51" t="s">
        <v>679</v>
      </c>
    </row>
    <row r="228" spans="1:36" ht="15.95" customHeight="1">
      <c r="A228" s="128" t="s">
        <v>700</v>
      </c>
      <c r="B228" s="129" t="s">
        <v>225</v>
      </c>
      <c r="C228" s="68" t="s">
        <v>701</v>
      </c>
      <c r="D228" s="130" t="s">
        <v>702</v>
      </c>
      <c r="E228" s="76" t="s">
        <v>119</v>
      </c>
      <c r="F228" s="76" t="s">
        <v>477</v>
      </c>
      <c r="G228" s="76" t="s">
        <v>676</v>
      </c>
      <c r="H228" s="124">
        <v>2026</v>
      </c>
      <c r="I228" s="125" t="s">
        <v>703</v>
      </c>
      <c r="J228" s="126"/>
      <c r="K228" s="127">
        <v>1</v>
      </c>
      <c r="L228" s="54">
        <v>500000</v>
      </c>
      <c r="M228" s="48">
        <f>+IF(E228="",0,VLOOKUP(E228,[1]Code!J:K,2,0))</f>
        <v>8</v>
      </c>
      <c r="N228" s="49">
        <f t="shared" si="60"/>
        <v>0.125</v>
      </c>
      <c r="O228" s="50">
        <f t="shared" si="61"/>
        <v>0</v>
      </c>
      <c r="P228" s="50">
        <f t="shared" si="62"/>
        <v>0</v>
      </c>
      <c r="Q228" s="50">
        <f t="shared" si="63"/>
        <v>0</v>
      </c>
      <c r="R228" s="50">
        <f t="shared" si="64"/>
        <v>0</v>
      </c>
      <c r="S228" s="50">
        <f t="shared" si="65"/>
        <v>0</v>
      </c>
      <c r="T228" s="50">
        <f t="shared" si="66"/>
        <v>0</v>
      </c>
      <c r="U228" s="50">
        <f t="shared" si="67"/>
        <v>0</v>
      </c>
      <c r="V228" s="50">
        <f t="shared" si="68"/>
        <v>0</v>
      </c>
      <c r="W228" s="50">
        <f t="shared" si="69"/>
        <v>0</v>
      </c>
      <c r="X228" s="50">
        <f t="shared" si="70"/>
        <v>0</v>
      </c>
      <c r="Y228" s="50">
        <f t="shared" si="71"/>
        <v>500000</v>
      </c>
      <c r="Z228" s="50">
        <f t="shared" si="72"/>
        <v>62500</v>
      </c>
      <c r="AA228" s="50">
        <f t="shared" si="73"/>
        <v>437500</v>
      </c>
      <c r="AB228" s="50">
        <f t="shared" si="74"/>
        <v>62500</v>
      </c>
      <c r="AC228" s="50">
        <f t="shared" si="75"/>
        <v>375000</v>
      </c>
      <c r="AD228" s="50">
        <f t="shared" si="76"/>
        <v>62500</v>
      </c>
      <c r="AE228" s="50">
        <f t="shared" si="77"/>
        <v>312500</v>
      </c>
      <c r="AF228" s="50">
        <f t="shared" si="78"/>
        <v>62500</v>
      </c>
      <c r="AG228" s="51" t="str">
        <f t="shared" si="79"/>
        <v>5 MACHINERY,UTILITIESXF3P1</v>
      </c>
      <c r="AH228" s="41"/>
      <c r="AI228" s="51" t="s">
        <v>678</v>
      </c>
      <c r="AJ228" s="51" t="s">
        <v>679</v>
      </c>
    </row>
    <row r="229" spans="1:36" ht="15.95" customHeight="1">
      <c r="A229" s="41" t="s">
        <v>704</v>
      </c>
      <c r="B229" s="131" t="s">
        <v>293</v>
      </c>
      <c r="C229" s="55" t="s">
        <v>705</v>
      </c>
      <c r="D229" s="44" t="s">
        <v>706</v>
      </c>
      <c r="E229" s="67" t="s">
        <v>119</v>
      </c>
      <c r="F229" s="42" t="s">
        <v>72</v>
      </c>
      <c r="G229" s="42" t="s">
        <v>457</v>
      </c>
      <c r="H229" s="41">
        <v>2026</v>
      </c>
      <c r="I229" s="45" t="s">
        <v>414</v>
      </c>
      <c r="J229" s="60"/>
      <c r="K229" s="54">
        <v>1</v>
      </c>
      <c r="L229" s="47">
        <v>800</v>
      </c>
      <c r="M229" s="48">
        <f>+IF(E229="",0,VLOOKUP(E229,[1]Code!J:K,2,0))</f>
        <v>8</v>
      </c>
      <c r="N229" s="49">
        <f t="shared" si="60"/>
        <v>0.125</v>
      </c>
      <c r="O229" s="50">
        <f t="shared" si="61"/>
        <v>0</v>
      </c>
      <c r="P229" s="50">
        <f t="shared" si="62"/>
        <v>0</v>
      </c>
      <c r="Q229" s="50">
        <f t="shared" si="63"/>
        <v>0</v>
      </c>
      <c r="R229" s="50">
        <f t="shared" si="64"/>
        <v>0</v>
      </c>
      <c r="S229" s="50">
        <f t="shared" si="65"/>
        <v>0</v>
      </c>
      <c r="T229" s="50">
        <f t="shared" si="66"/>
        <v>0</v>
      </c>
      <c r="U229" s="50">
        <f t="shared" si="67"/>
        <v>0</v>
      </c>
      <c r="V229" s="50">
        <f t="shared" si="68"/>
        <v>0</v>
      </c>
      <c r="W229" s="50">
        <f t="shared" si="69"/>
        <v>0</v>
      </c>
      <c r="X229" s="50">
        <f t="shared" si="70"/>
        <v>0</v>
      </c>
      <c r="Y229" s="50">
        <f t="shared" si="71"/>
        <v>800</v>
      </c>
      <c r="Z229" s="50">
        <f t="shared" si="72"/>
        <v>100</v>
      </c>
      <c r="AA229" s="50">
        <f t="shared" si="73"/>
        <v>700</v>
      </c>
      <c r="AB229" s="50">
        <f t="shared" si="74"/>
        <v>100</v>
      </c>
      <c r="AC229" s="50">
        <f t="shared" si="75"/>
        <v>600</v>
      </c>
      <c r="AD229" s="50">
        <f t="shared" si="76"/>
        <v>100</v>
      </c>
      <c r="AE229" s="50">
        <f t="shared" si="77"/>
        <v>500</v>
      </c>
      <c r="AF229" s="50">
        <f t="shared" si="78"/>
        <v>100</v>
      </c>
      <c r="AG229" s="51" t="str">
        <f t="shared" si="79"/>
        <v xml:space="preserve">5 MACHINERY,UTILITIESALL </v>
      </c>
      <c r="AH229" s="41"/>
      <c r="AI229" s="51" t="s">
        <v>707</v>
      </c>
      <c r="AJ229" s="51" t="s">
        <v>708</v>
      </c>
    </row>
    <row r="230" spans="1:36" ht="15.95" customHeight="1">
      <c r="A230" s="41" t="s">
        <v>709</v>
      </c>
      <c r="B230" s="131" t="s">
        <v>225</v>
      </c>
      <c r="C230" s="55" t="s">
        <v>710</v>
      </c>
      <c r="D230" s="52" t="s">
        <v>711</v>
      </c>
      <c r="E230" s="67" t="s">
        <v>119</v>
      </c>
      <c r="F230" s="42" t="s">
        <v>72</v>
      </c>
      <c r="G230" s="42" t="s">
        <v>457</v>
      </c>
      <c r="H230" s="41">
        <v>2026</v>
      </c>
      <c r="I230" s="45" t="s">
        <v>329</v>
      </c>
      <c r="J230" s="60"/>
      <c r="K230" s="54">
        <v>1</v>
      </c>
      <c r="L230" s="47">
        <v>300</v>
      </c>
      <c r="M230" s="48">
        <f>+IF(E230="",0,VLOOKUP(E230,[1]Code!J:K,2,0))</f>
        <v>8</v>
      </c>
      <c r="N230" s="49">
        <f t="shared" si="60"/>
        <v>0.125</v>
      </c>
      <c r="O230" s="50">
        <f t="shared" si="61"/>
        <v>0</v>
      </c>
      <c r="P230" s="50">
        <f t="shared" si="62"/>
        <v>0</v>
      </c>
      <c r="Q230" s="50">
        <f t="shared" si="63"/>
        <v>0</v>
      </c>
      <c r="R230" s="50">
        <f t="shared" si="64"/>
        <v>0</v>
      </c>
      <c r="S230" s="50">
        <f t="shared" si="65"/>
        <v>0</v>
      </c>
      <c r="T230" s="50">
        <f t="shared" si="66"/>
        <v>0</v>
      </c>
      <c r="U230" s="50">
        <f t="shared" si="67"/>
        <v>0</v>
      </c>
      <c r="V230" s="50">
        <f t="shared" si="68"/>
        <v>0</v>
      </c>
      <c r="W230" s="50">
        <f t="shared" si="69"/>
        <v>0</v>
      </c>
      <c r="X230" s="50">
        <f t="shared" si="70"/>
        <v>0</v>
      </c>
      <c r="Y230" s="50">
        <f t="shared" si="71"/>
        <v>300</v>
      </c>
      <c r="Z230" s="50">
        <f t="shared" si="72"/>
        <v>37.5</v>
      </c>
      <c r="AA230" s="50">
        <f t="shared" si="73"/>
        <v>262.5</v>
      </c>
      <c r="AB230" s="50">
        <f t="shared" si="74"/>
        <v>37.5</v>
      </c>
      <c r="AC230" s="50">
        <f t="shared" si="75"/>
        <v>225</v>
      </c>
      <c r="AD230" s="50">
        <f t="shared" si="76"/>
        <v>37.5</v>
      </c>
      <c r="AE230" s="50">
        <f t="shared" si="77"/>
        <v>187.5</v>
      </c>
      <c r="AF230" s="50">
        <f t="shared" si="78"/>
        <v>37.5</v>
      </c>
      <c r="AG230" s="51" t="str">
        <f t="shared" si="79"/>
        <v xml:space="preserve">5 MACHINERY,UTILITIESALL </v>
      </c>
      <c r="AH230" s="41"/>
      <c r="AI230" s="51" t="s">
        <v>707</v>
      </c>
      <c r="AJ230" s="51" t="s">
        <v>708</v>
      </c>
    </row>
    <row r="231" spans="1:36" ht="15.95" customHeight="1">
      <c r="A231" s="41" t="s">
        <v>712</v>
      </c>
      <c r="B231" s="131" t="s">
        <v>713</v>
      </c>
      <c r="C231" s="55" t="s">
        <v>714</v>
      </c>
      <c r="D231" s="44" t="s">
        <v>715</v>
      </c>
      <c r="E231" s="67" t="s">
        <v>90</v>
      </c>
      <c r="F231" s="42" t="s">
        <v>72</v>
      </c>
      <c r="G231" s="42" t="s">
        <v>457</v>
      </c>
      <c r="H231" s="41">
        <v>2026</v>
      </c>
      <c r="I231" s="45" t="s">
        <v>414</v>
      </c>
      <c r="J231" s="60"/>
      <c r="K231" s="54">
        <v>1</v>
      </c>
      <c r="L231" s="47">
        <v>300</v>
      </c>
      <c r="M231" s="48">
        <f>+IF(E231="",0,VLOOKUP(E231,[1]Code!J:K,2,0))</f>
        <v>10</v>
      </c>
      <c r="N231" s="49">
        <f t="shared" si="60"/>
        <v>0.1</v>
      </c>
      <c r="O231" s="50">
        <f t="shared" si="61"/>
        <v>0</v>
      </c>
      <c r="P231" s="50">
        <f t="shared" si="62"/>
        <v>0</v>
      </c>
      <c r="Q231" s="50">
        <f t="shared" si="63"/>
        <v>0</v>
      </c>
      <c r="R231" s="50">
        <f t="shared" si="64"/>
        <v>0</v>
      </c>
      <c r="S231" s="50">
        <f t="shared" si="65"/>
        <v>0</v>
      </c>
      <c r="T231" s="50">
        <f t="shared" si="66"/>
        <v>0</v>
      </c>
      <c r="U231" s="50">
        <f t="shared" si="67"/>
        <v>0</v>
      </c>
      <c r="V231" s="50">
        <f t="shared" si="68"/>
        <v>0</v>
      </c>
      <c r="W231" s="50">
        <f t="shared" si="69"/>
        <v>0</v>
      </c>
      <c r="X231" s="50">
        <f t="shared" si="70"/>
        <v>0</v>
      </c>
      <c r="Y231" s="50">
        <f t="shared" si="71"/>
        <v>300</v>
      </c>
      <c r="Z231" s="50">
        <f t="shared" si="72"/>
        <v>30</v>
      </c>
      <c r="AA231" s="50">
        <f t="shared" si="73"/>
        <v>270</v>
      </c>
      <c r="AB231" s="50">
        <f t="shared" si="74"/>
        <v>30</v>
      </c>
      <c r="AC231" s="50">
        <f t="shared" si="75"/>
        <v>240</v>
      </c>
      <c r="AD231" s="50">
        <f t="shared" si="76"/>
        <v>30</v>
      </c>
      <c r="AE231" s="50">
        <f t="shared" si="77"/>
        <v>210</v>
      </c>
      <c r="AF231" s="50">
        <f t="shared" si="78"/>
        <v>30</v>
      </c>
      <c r="AG231" s="51" t="str">
        <f t="shared" si="79"/>
        <v xml:space="preserve">12 FURNITURE &amp; FIXTUREALL </v>
      </c>
      <c r="AH231" s="41"/>
      <c r="AI231" s="51" t="s">
        <v>707</v>
      </c>
      <c r="AJ231" s="51" t="s">
        <v>708</v>
      </c>
    </row>
    <row r="232" spans="1:36" ht="15.95" customHeight="1">
      <c r="A232" s="41" t="s">
        <v>716</v>
      </c>
      <c r="B232" s="131" t="s">
        <v>713</v>
      </c>
      <c r="C232" s="55" t="s">
        <v>717</v>
      </c>
      <c r="D232" s="44" t="s">
        <v>718</v>
      </c>
      <c r="E232" s="67" t="s">
        <v>90</v>
      </c>
      <c r="F232" s="42" t="s">
        <v>72</v>
      </c>
      <c r="G232" s="42" t="s">
        <v>457</v>
      </c>
      <c r="H232" s="41">
        <v>2026</v>
      </c>
      <c r="I232" s="45" t="s">
        <v>414</v>
      </c>
      <c r="J232" s="60"/>
      <c r="K232" s="54">
        <v>1</v>
      </c>
      <c r="L232" s="47">
        <v>300</v>
      </c>
      <c r="M232" s="48">
        <f>+IF(E232="",0,VLOOKUP(E232,[1]Code!J:K,2,0))</f>
        <v>10</v>
      </c>
      <c r="N232" s="49">
        <f t="shared" si="60"/>
        <v>0.1</v>
      </c>
      <c r="O232" s="50">
        <f t="shared" si="61"/>
        <v>0</v>
      </c>
      <c r="P232" s="50">
        <f t="shared" si="62"/>
        <v>0</v>
      </c>
      <c r="Q232" s="50">
        <f t="shared" si="63"/>
        <v>0</v>
      </c>
      <c r="R232" s="50">
        <f t="shared" si="64"/>
        <v>0</v>
      </c>
      <c r="S232" s="50">
        <f t="shared" si="65"/>
        <v>0</v>
      </c>
      <c r="T232" s="50">
        <f t="shared" si="66"/>
        <v>0</v>
      </c>
      <c r="U232" s="50">
        <f t="shared" si="67"/>
        <v>0</v>
      </c>
      <c r="V232" s="50">
        <f t="shared" si="68"/>
        <v>0</v>
      </c>
      <c r="W232" s="50">
        <f t="shared" si="69"/>
        <v>0</v>
      </c>
      <c r="X232" s="50">
        <f t="shared" si="70"/>
        <v>0</v>
      </c>
      <c r="Y232" s="50">
        <f t="shared" si="71"/>
        <v>300</v>
      </c>
      <c r="Z232" s="50">
        <f t="shared" si="72"/>
        <v>30</v>
      </c>
      <c r="AA232" s="50">
        <f t="shared" si="73"/>
        <v>270</v>
      </c>
      <c r="AB232" s="50">
        <f t="shared" si="74"/>
        <v>30</v>
      </c>
      <c r="AC232" s="50">
        <f t="shared" si="75"/>
        <v>240</v>
      </c>
      <c r="AD232" s="50">
        <f t="shared" si="76"/>
        <v>30</v>
      </c>
      <c r="AE232" s="50">
        <f t="shared" si="77"/>
        <v>210</v>
      </c>
      <c r="AF232" s="50">
        <f t="shared" si="78"/>
        <v>30</v>
      </c>
      <c r="AG232" s="51" t="str">
        <f t="shared" si="79"/>
        <v xml:space="preserve">12 FURNITURE &amp; FIXTUREALL </v>
      </c>
      <c r="AH232" s="41"/>
      <c r="AI232" s="51" t="s">
        <v>707</v>
      </c>
      <c r="AJ232" s="51" t="s">
        <v>708</v>
      </c>
    </row>
    <row r="233" spans="1:36" ht="15.95" customHeight="1">
      <c r="A233" s="41" t="s">
        <v>719</v>
      </c>
      <c r="B233" s="131" t="s">
        <v>217</v>
      </c>
      <c r="C233" s="55" t="s">
        <v>720</v>
      </c>
      <c r="D233" s="52" t="s">
        <v>721</v>
      </c>
      <c r="E233" s="67" t="s">
        <v>103</v>
      </c>
      <c r="F233" s="42" t="s">
        <v>72</v>
      </c>
      <c r="G233" s="42" t="s">
        <v>457</v>
      </c>
      <c r="H233" s="41">
        <v>2026</v>
      </c>
      <c r="I233" s="45" t="s">
        <v>400</v>
      </c>
      <c r="J233" s="60"/>
      <c r="K233" s="54">
        <v>1</v>
      </c>
      <c r="L233" s="47">
        <v>200</v>
      </c>
      <c r="M233" s="48">
        <f>+IF(E233="",0,VLOOKUP(E233,[1]Code!J:K,2,0))</f>
        <v>5</v>
      </c>
      <c r="N233" s="49">
        <f t="shared" si="60"/>
        <v>0.2</v>
      </c>
      <c r="O233" s="50">
        <f t="shared" si="61"/>
        <v>0</v>
      </c>
      <c r="P233" s="50">
        <f t="shared" si="62"/>
        <v>0</v>
      </c>
      <c r="Q233" s="50">
        <f t="shared" si="63"/>
        <v>0</v>
      </c>
      <c r="R233" s="50">
        <f t="shared" si="64"/>
        <v>0</v>
      </c>
      <c r="S233" s="50">
        <f t="shared" si="65"/>
        <v>0</v>
      </c>
      <c r="T233" s="50">
        <f t="shared" si="66"/>
        <v>0</v>
      </c>
      <c r="U233" s="50">
        <f t="shared" si="67"/>
        <v>0</v>
      </c>
      <c r="V233" s="50">
        <f t="shared" si="68"/>
        <v>0</v>
      </c>
      <c r="W233" s="50">
        <f t="shared" si="69"/>
        <v>0</v>
      </c>
      <c r="X233" s="50">
        <f t="shared" si="70"/>
        <v>0</v>
      </c>
      <c r="Y233" s="50">
        <f t="shared" si="71"/>
        <v>200</v>
      </c>
      <c r="Z233" s="50">
        <f t="shared" si="72"/>
        <v>40</v>
      </c>
      <c r="AA233" s="50">
        <f t="shared" si="73"/>
        <v>160</v>
      </c>
      <c r="AB233" s="50">
        <f t="shared" si="74"/>
        <v>40</v>
      </c>
      <c r="AC233" s="50">
        <f t="shared" si="75"/>
        <v>120</v>
      </c>
      <c r="AD233" s="50">
        <f t="shared" si="76"/>
        <v>40</v>
      </c>
      <c r="AE233" s="50">
        <f t="shared" si="77"/>
        <v>80</v>
      </c>
      <c r="AF233" s="50">
        <f t="shared" si="78"/>
        <v>40</v>
      </c>
      <c r="AG233" s="51" t="str">
        <f t="shared" si="79"/>
        <v xml:space="preserve">9 TOOLSALL </v>
      </c>
      <c r="AH233" s="41"/>
      <c r="AI233" s="51" t="s">
        <v>707</v>
      </c>
      <c r="AJ233" s="51" t="s">
        <v>708</v>
      </c>
    </row>
    <row r="234" spans="1:36" ht="15.95" customHeight="1">
      <c r="A234" s="41" t="s">
        <v>722</v>
      </c>
      <c r="B234" s="85" t="s">
        <v>225</v>
      </c>
      <c r="C234" s="86" t="s">
        <v>723</v>
      </c>
      <c r="D234" s="52" t="s">
        <v>724</v>
      </c>
      <c r="E234" s="42" t="s">
        <v>119</v>
      </c>
      <c r="F234" s="42" t="s">
        <v>72</v>
      </c>
      <c r="G234" s="42" t="s">
        <v>457</v>
      </c>
      <c r="H234" s="41">
        <v>2026</v>
      </c>
      <c r="I234" s="45">
        <v>46235</v>
      </c>
      <c r="J234" s="45"/>
      <c r="K234" s="46">
        <v>1</v>
      </c>
      <c r="L234" s="47">
        <v>35</v>
      </c>
      <c r="M234" s="48">
        <f>+IF(E234="",0,VLOOKUP(E234,[1]Code!J:K,2,0))</f>
        <v>8</v>
      </c>
      <c r="N234" s="49">
        <f t="shared" si="60"/>
        <v>0.125</v>
      </c>
      <c r="O234" s="50">
        <f t="shared" si="61"/>
        <v>0</v>
      </c>
      <c r="P234" s="50">
        <f t="shared" si="62"/>
        <v>0</v>
      </c>
      <c r="Q234" s="50">
        <f t="shared" si="63"/>
        <v>0</v>
      </c>
      <c r="R234" s="50">
        <f t="shared" si="64"/>
        <v>0</v>
      </c>
      <c r="S234" s="50">
        <f t="shared" si="65"/>
        <v>0</v>
      </c>
      <c r="T234" s="50">
        <f t="shared" si="66"/>
        <v>0</v>
      </c>
      <c r="U234" s="50">
        <f t="shared" si="67"/>
        <v>0</v>
      </c>
      <c r="V234" s="50">
        <f t="shared" si="68"/>
        <v>0</v>
      </c>
      <c r="W234" s="50">
        <f t="shared" si="69"/>
        <v>0</v>
      </c>
      <c r="X234" s="50">
        <f t="shared" si="70"/>
        <v>0</v>
      </c>
      <c r="Y234" s="50">
        <f t="shared" si="71"/>
        <v>35</v>
      </c>
      <c r="Z234" s="50">
        <f t="shared" si="72"/>
        <v>4.375</v>
      </c>
      <c r="AA234" s="50">
        <f t="shared" si="73"/>
        <v>30.625</v>
      </c>
      <c r="AB234" s="50">
        <f t="shared" si="74"/>
        <v>4.375</v>
      </c>
      <c r="AC234" s="50">
        <f t="shared" si="75"/>
        <v>26.25</v>
      </c>
      <c r="AD234" s="50">
        <f t="shared" si="76"/>
        <v>4.375</v>
      </c>
      <c r="AE234" s="50">
        <f t="shared" si="77"/>
        <v>21.875</v>
      </c>
      <c r="AF234" s="50">
        <f t="shared" si="78"/>
        <v>4.375</v>
      </c>
      <c r="AG234" s="51" t="str">
        <f t="shared" si="79"/>
        <v xml:space="preserve">5 MACHINERY,UTILITIESALL </v>
      </c>
      <c r="AH234" s="41"/>
      <c r="AI234" s="51" t="s">
        <v>707</v>
      </c>
      <c r="AJ234" s="51" t="s">
        <v>708</v>
      </c>
    </row>
    <row r="235" spans="1:36" ht="15.95" customHeight="1">
      <c r="A235" s="41" t="s">
        <v>725</v>
      </c>
      <c r="B235" s="85" t="s">
        <v>281</v>
      </c>
      <c r="C235" s="86" t="s">
        <v>726</v>
      </c>
      <c r="D235" s="52" t="s">
        <v>727</v>
      </c>
      <c r="E235" s="42" t="s">
        <v>119</v>
      </c>
      <c r="F235" s="42" t="s">
        <v>72</v>
      </c>
      <c r="G235" s="42" t="s">
        <v>457</v>
      </c>
      <c r="H235" s="41">
        <v>2026</v>
      </c>
      <c r="I235" s="45">
        <v>46296</v>
      </c>
      <c r="J235" s="45"/>
      <c r="K235" s="46">
        <v>1</v>
      </c>
      <c r="L235" s="47">
        <v>1000</v>
      </c>
      <c r="M235" s="48">
        <f>+IF(E235="",0,VLOOKUP(E235,[1]Code!J:K,2,0))</f>
        <v>8</v>
      </c>
      <c r="N235" s="49">
        <f t="shared" si="60"/>
        <v>0.125</v>
      </c>
      <c r="O235" s="50">
        <f t="shared" si="61"/>
        <v>0</v>
      </c>
      <c r="P235" s="50">
        <f t="shared" si="62"/>
        <v>0</v>
      </c>
      <c r="Q235" s="50">
        <f t="shared" si="63"/>
        <v>0</v>
      </c>
      <c r="R235" s="50">
        <f t="shared" si="64"/>
        <v>0</v>
      </c>
      <c r="S235" s="50">
        <f t="shared" si="65"/>
        <v>0</v>
      </c>
      <c r="T235" s="50">
        <f t="shared" si="66"/>
        <v>0</v>
      </c>
      <c r="U235" s="50">
        <f t="shared" si="67"/>
        <v>0</v>
      </c>
      <c r="V235" s="50">
        <f t="shared" si="68"/>
        <v>0</v>
      </c>
      <c r="W235" s="50">
        <f t="shared" si="69"/>
        <v>0</v>
      </c>
      <c r="X235" s="50">
        <f t="shared" si="70"/>
        <v>0</v>
      </c>
      <c r="Y235" s="50">
        <f t="shared" si="71"/>
        <v>1000</v>
      </c>
      <c r="Z235" s="50">
        <f t="shared" si="72"/>
        <v>125</v>
      </c>
      <c r="AA235" s="50">
        <f t="shared" si="73"/>
        <v>875</v>
      </c>
      <c r="AB235" s="50">
        <f t="shared" si="74"/>
        <v>125</v>
      </c>
      <c r="AC235" s="50">
        <f t="shared" si="75"/>
        <v>750</v>
      </c>
      <c r="AD235" s="50">
        <f t="shared" si="76"/>
        <v>125</v>
      </c>
      <c r="AE235" s="50">
        <f t="shared" si="77"/>
        <v>625</v>
      </c>
      <c r="AF235" s="50">
        <f t="shared" si="78"/>
        <v>125</v>
      </c>
      <c r="AG235" s="51" t="str">
        <f t="shared" si="79"/>
        <v xml:space="preserve">5 MACHINERY,UTILITIESALL </v>
      </c>
      <c r="AH235" s="41"/>
      <c r="AI235" s="51" t="s">
        <v>707</v>
      </c>
      <c r="AJ235" s="51" t="s">
        <v>708</v>
      </c>
    </row>
    <row r="236" spans="1:36" ht="15.95" customHeight="1">
      <c r="A236" s="41" t="s">
        <v>728</v>
      </c>
      <c r="B236" s="85" t="s">
        <v>281</v>
      </c>
      <c r="C236" s="86" t="s">
        <v>729</v>
      </c>
      <c r="D236" s="52" t="s">
        <v>727</v>
      </c>
      <c r="E236" s="42" t="s">
        <v>119</v>
      </c>
      <c r="F236" s="42" t="s">
        <v>72</v>
      </c>
      <c r="G236" s="42" t="s">
        <v>457</v>
      </c>
      <c r="H236" s="41">
        <v>2026</v>
      </c>
      <c r="I236" s="45">
        <v>46296</v>
      </c>
      <c r="J236" s="45"/>
      <c r="K236" s="46">
        <v>1</v>
      </c>
      <c r="L236" s="47">
        <v>1000</v>
      </c>
      <c r="M236" s="48">
        <f>+IF(E236="",0,VLOOKUP(E236,[1]Code!J:K,2,0))</f>
        <v>8</v>
      </c>
      <c r="N236" s="49">
        <f t="shared" si="60"/>
        <v>0.125</v>
      </c>
      <c r="O236" s="50">
        <f t="shared" si="61"/>
        <v>0</v>
      </c>
      <c r="P236" s="50">
        <f t="shared" si="62"/>
        <v>0</v>
      </c>
      <c r="Q236" s="50">
        <f t="shared" si="63"/>
        <v>0</v>
      </c>
      <c r="R236" s="50">
        <f t="shared" si="64"/>
        <v>0</v>
      </c>
      <c r="S236" s="50">
        <f t="shared" si="65"/>
        <v>0</v>
      </c>
      <c r="T236" s="50">
        <f t="shared" si="66"/>
        <v>0</v>
      </c>
      <c r="U236" s="50">
        <f t="shared" si="67"/>
        <v>0</v>
      </c>
      <c r="V236" s="50">
        <f t="shared" si="68"/>
        <v>0</v>
      </c>
      <c r="W236" s="50">
        <f t="shared" si="69"/>
        <v>0</v>
      </c>
      <c r="X236" s="50">
        <f t="shared" si="70"/>
        <v>0</v>
      </c>
      <c r="Y236" s="50">
        <f t="shared" si="71"/>
        <v>1000</v>
      </c>
      <c r="Z236" s="50">
        <f t="shared" si="72"/>
        <v>125</v>
      </c>
      <c r="AA236" s="50">
        <f t="shared" si="73"/>
        <v>875</v>
      </c>
      <c r="AB236" s="50">
        <f t="shared" si="74"/>
        <v>125</v>
      </c>
      <c r="AC236" s="50">
        <f t="shared" si="75"/>
        <v>750</v>
      </c>
      <c r="AD236" s="50">
        <f t="shared" si="76"/>
        <v>125</v>
      </c>
      <c r="AE236" s="50">
        <f t="shared" si="77"/>
        <v>625</v>
      </c>
      <c r="AF236" s="50">
        <f t="shared" si="78"/>
        <v>125</v>
      </c>
      <c r="AG236" s="51" t="str">
        <f t="shared" si="79"/>
        <v xml:space="preserve">5 MACHINERY,UTILITIESALL </v>
      </c>
      <c r="AH236" s="41"/>
      <c r="AI236" s="51" t="s">
        <v>707</v>
      </c>
      <c r="AJ236" s="51" t="s">
        <v>708</v>
      </c>
    </row>
    <row r="237" spans="1:36" ht="15.95" customHeight="1">
      <c r="A237" s="76" t="s">
        <v>730</v>
      </c>
      <c r="B237" s="84" t="s">
        <v>731</v>
      </c>
      <c r="C237" s="132" t="s">
        <v>732</v>
      </c>
      <c r="D237" s="133" t="s">
        <v>733</v>
      </c>
      <c r="E237" s="134" t="s">
        <v>119</v>
      </c>
      <c r="F237" s="42" t="s">
        <v>72</v>
      </c>
      <c r="G237" s="42" t="s">
        <v>457</v>
      </c>
      <c r="H237" s="41">
        <v>2026</v>
      </c>
      <c r="I237" s="60" t="s">
        <v>734</v>
      </c>
      <c r="J237" s="60"/>
      <c r="K237" s="46">
        <v>600</v>
      </c>
      <c r="L237" s="54">
        <v>6000</v>
      </c>
      <c r="M237" s="48">
        <f>+IF(E237="",0,VLOOKUP(E237,[1]Code!J:K,2,0))</f>
        <v>8</v>
      </c>
      <c r="N237" s="49">
        <f t="shared" si="60"/>
        <v>0.125</v>
      </c>
      <c r="O237" s="50">
        <f t="shared" si="61"/>
        <v>0</v>
      </c>
      <c r="P237" s="50">
        <f t="shared" si="62"/>
        <v>0</v>
      </c>
      <c r="Q237" s="50">
        <f t="shared" si="63"/>
        <v>0</v>
      </c>
      <c r="R237" s="50">
        <f t="shared" si="64"/>
        <v>0</v>
      </c>
      <c r="S237" s="50">
        <f t="shared" si="65"/>
        <v>0</v>
      </c>
      <c r="T237" s="50">
        <f t="shared" si="66"/>
        <v>0</v>
      </c>
      <c r="U237" s="50">
        <f t="shared" si="67"/>
        <v>0</v>
      </c>
      <c r="V237" s="50">
        <f t="shared" si="68"/>
        <v>0</v>
      </c>
      <c r="W237" s="50">
        <f t="shared" si="69"/>
        <v>0</v>
      </c>
      <c r="X237" s="50">
        <f t="shared" si="70"/>
        <v>0</v>
      </c>
      <c r="Y237" s="50">
        <f t="shared" si="71"/>
        <v>6000</v>
      </c>
      <c r="Z237" s="50">
        <f t="shared" si="72"/>
        <v>750</v>
      </c>
      <c r="AA237" s="50">
        <f t="shared" si="73"/>
        <v>5250</v>
      </c>
      <c r="AB237" s="50">
        <f t="shared" si="74"/>
        <v>750</v>
      </c>
      <c r="AC237" s="50">
        <f t="shared" si="75"/>
        <v>4500</v>
      </c>
      <c r="AD237" s="50">
        <f t="shared" si="76"/>
        <v>750</v>
      </c>
      <c r="AE237" s="50">
        <f t="shared" si="77"/>
        <v>3750</v>
      </c>
      <c r="AF237" s="50">
        <f t="shared" si="78"/>
        <v>750</v>
      </c>
      <c r="AG237" s="51" t="str">
        <f t="shared" si="79"/>
        <v xml:space="preserve">5 MACHINERY,UTILITIESALL </v>
      </c>
      <c r="AH237" s="41"/>
      <c r="AI237" s="51" t="s">
        <v>707</v>
      </c>
      <c r="AJ237" s="51" t="s">
        <v>708</v>
      </c>
    </row>
    <row r="238" spans="1:36" ht="15.95" customHeight="1">
      <c r="A238" s="76" t="s">
        <v>735</v>
      </c>
      <c r="B238" s="84" t="s">
        <v>731</v>
      </c>
      <c r="C238" s="132" t="s">
        <v>732</v>
      </c>
      <c r="D238" s="52" t="s">
        <v>736</v>
      </c>
      <c r="E238" s="134" t="s">
        <v>119</v>
      </c>
      <c r="F238" s="42" t="s">
        <v>72</v>
      </c>
      <c r="G238" s="42" t="s">
        <v>457</v>
      </c>
      <c r="H238" s="41">
        <v>2026</v>
      </c>
      <c r="I238" s="60" t="s">
        <v>737</v>
      </c>
      <c r="J238" s="60"/>
      <c r="K238" s="46">
        <v>3</v>
      </c>
      <c r="L238" s="54">
        <v>300</v>
      </c>
      <c r="M238" s="48">
        <f>+IF(E238="",0,VLOOKUP(E238,[1]Code!J:K,2,0))</f>
        <v>8</v>
      </c>
      <c r="N238" s="49">
        <f t="shared" si="60"/>
        <v>0.125</v>
      </c>
      <c r="O238" s="50">
        <f t="shared" si="61"/>
        <v>0</v>
      </c>
      <c r="P238" s="50">
        <f t="shared" si="62"/>
        <v>0</v>
      </c>
      <c r="Q238" s="50">
        <f t="shared" si="63"/>
        <v>0</v>
      </c>
      <c r="R238" s="50">
        <f t="shared" si="64"/>
        <v>0</v>
      </c>
      <c r="S238" s="50">
        <f t="shared" si="65"/>
        <v>0</v>
      </c>
      <c r="T238" s="50">
        <f t="shared" si="66"/>
        <v>0</v>
      </c>
      <c r="U238" s="50">
        <f t="shared" si="67"/>
        <v>0</v>
      </c>
      <c r="V238" s="50">
        <f t="shared" si="68"/>
        <v>0</v>
      </c>
      <c r="W238" s="50">
        <f t="shared" si="69"/>
        <v>0</v>
      </c>
      <c r="X238" s="50">
        <f t="shared" si="70"/>
        <v>0</v>
      </c>
      <c r="Y238" s="50">
        <f t="shared" si="71"/>
        <v>300</v>
      </c>
      <c r="Z238" s="50">
        <f t="shared" si="72"/>
        <v>37.5</v>
      </c>
      <c r="AA238" s="50">
        <f t="shared" si="73"/>
        <v>262.5</v>
      </c>
      <c r="AB238" s="50">
        <f t="shared" si="74"/>
        <v>37.5</v>
      </c>
      <c r="AC238" s="50">
        <f t="shared" si="75"/>
        <v>225</v>
      </c>
      <c r="AD238" s="50">
        <f t="shared" si="76"/>
        <v>37.5</v>
      </c>
      <c r="AE238" s="50">
        <f t="shared" si="77"/>
        <v>187.5</v>
      </c>
      <c r="AF238" s="50">
        <f t="shared" si="78"/>
        <v>37.5</v>
      </c>
      <c r="AG238" s="51" t="str">
        <f t="shared" si="79"/>
        <v xml:space="preserve">5 MACHINERY,UTILITIESALL </v>
      </c>
      <c r="AH238" s="41"/>
      <c r="AI238" s="51" t="s">
        <v>707</v>
      </c>
      <c r="AJ238" s="51" t="s">
        <v>708</v>
      </c>
    </row>
    <row r="239" spans="1:36" ht="15.95" customHeight="1">
      <c r="A239" s="76" t="s">
        <v>738</v>
      </c>
      <c r="B239" s="84" t="s">
        <v>739</v>
      </c>
      <c r="C239" s="132" t="s">
        <v>732</v>
      </c>
      <c r="D239" s="52" t="s">
        <v>740</v>
      </c>
      <c r="E239" s="134" t="s">
        <v>90</v>
      </c>
      <c r="F239" s="42" t="s">
        <v>72</v>
      </c>
      <c r="G239" s="42" t="s">
        <v>457</v>
      </c>
      <c r="H239" s="41">
        <v>2026</v>
      </c>
      <c r="I239" s="60" t="s">
        <v>741</v>
      </c>
      <c r="J239" s="60"/>
      <c r="K239" s="46">
        <v>142</v>
      </c>
      <c r="L239" s="54">
        <v>4500</v>
      </c>
      <c r="M239" s="48">
        <f>+IF(E239="",0,VLOOKUP(E239,[1]Code!J:K,2,0))</f>
        <v>10</v>
      </c>
      <c r="N239" s="49">
        <f t="shared" si="60"/>
        <v>0.1</v>
      </c>
      <c r="O239" s="50">
        <f t="shared" si="61"/>
        <v>0</v>
      </c>
      <c r="P239" s="50">
        <f t="shared" si="62"/>
        <v>0</v>
      </c>
      <c r="Q239" s="50">
        <f t="shared" si="63"/>
        <v>0</v>
      </c>
      <c r="R239" s="50">
        <f t="shared" si="64"/>
        <v>0</v>
      </c>
      <c r="S239" s="50">
        <f t="shared" si="65"/>
        <v>0</v>
      </c>
      <c r="T239" s="50">
        <f t="shared" si="66"/>
        <v>0</v>
      </c>
      <c r="U239" s="50">
        <f t="shared" si="67"/>
        <v>0</v>
      </c>
      <c r="V239" s="50">
        <f t="shared" si="68"/>
        <v>0</v>
      </c>
      <c r="W239" s="50">
        <f t="shared" si="69"/>
        <v>0</v>
      </c>
      <c r="X239" s="50">
        <f t="shared" si="70"/>
        <v>0</v>
      </c>
      <c r="Y239" s="50">
        <f t="shared" si="71"/>
        <v>4500</v>
      </c>
      <c r="Z239" s="50">
        <f t="shared" si="72"/>
        <v>450</v>
      </c>
      <c r="AA239" s="50">
        <f t="shared" si="73"/>
        <v>4050</v>
      </c>
      <c r="AB239" s="50">
        <f t="shared" si="74"/>
        <v>450</v>
      </c>
      <c r="AC239" s="50">
        <f t="shared" si="75"/>
        <v>3600</v>
      </c>
      <c r="AD239" s="50">
        <f t="shared" si="76"/>
        <v>450</v>
      </c>
      <c r="AE239" s="50">
        <f t="shared" si="77"/>
        <v>3150</v>
      </c>
      <c r="AF239" s="50">
        <f t="shared" si="78"/>
        <v>450</v>
      </c>
      <c r="AG239" s="51" t="str">
        <f t="shared" si="79"/>
        <v xml:space="preserve">12 FURNITURE &amp; FIXTUREALL </v>
      </c>
      <c r="AH239" s="41"/>
      <c r="AI239" s="51" t="s">
        <v>707</v>
      </c>
      <c r="AJ239" s="51" t="s">
        <v>708</v>
      </c>
    </row>
    <row r="240" spans="1:36" ht="15.95" customHeight="1">
      <c r="A240" s="76" t="s">
        <v>742</v>
      </c>
      <c r="B240" s="84" t="s">
        <v>739</v>
      </c>
      <c r="C240" s="132" t="s">
        <v>732</v>
      </c>
      <c r="D240" s="52" t="s">
        <v>743</v>
      </c>
      <c r="E240" s="134" t="s">
        <v>90</v>
      </c>
      <c r="F240" s="42" t="s">
        <v>72</v>
      </c>
      <c r="G240" s="42" t="s">
        <v>457</v>
      </c>
      <c r="H240" s="41">
        <v>2026</v>
      </c>
      <c r="I240" s="60" t="s">
        <v>741</v>
      </c>
      <c r="J240" s="60"/>
      <c r="K240" s="46">
        <v>500</v>
      </c>
      <c r="L240" s="54">
        <v>4500</v>
      </c>
      <c r="M240" s="48">
        <f>+IF(E240="",0,VLOOKUP(E240,[1]Code!J:K,2,0))</f>
        <v>10</v>
      </c>
      <c r="N240" s="49">
        <f t="shared" si="60"/>
        <v>0.1</v>
      </c>
      <c r="O240" s="50">
        <f t="shared" si="61"/>
        <v>0</v>
      </c>
      <c r="P240" s="50">
        <f t="shared" si="62"/>
        <v>0</v>
      </c>
      <c r="Q240" s="50">
        <f t="shared" si="63"/>
        <v>0</v>
      </c>
      <c r="R240" s="50">
        <f t="shared" si="64"/>
        <v>0</v>
      </c>
      <c r="S240" s="50">
        <f t="shared" si="65"/>
        <v>0</v>
      </c>
      <c r="T240" s="50">
        <f t="shared" si="66"/>
        <v>0</v>
      </c>
      <c r="U240" s="50">
        <f t="shared" si="67"/>
        <v>0</v>
      </c>
      <c r="V240" s="50">
        <f t="shared" si="68"/>
        <v>0</v>
      </c>
      <c r="W240" s="50">
        <f t="shared" si="69"/>
        <v>0</v>
      </c>
      <c r="X240" s="50">
        <f t="shared" si="70"/>
        <v>0</v>
      </c>
      <c r="Y240" s="50">
        <f t="shared" si="71"/>
        <v>4500</v>
      </c>
      <c r="Z240" s="50">
        <f t="shared" si="72"/>
        <v>450</v>
      </c>
      <c r="AA240" s="50">
        <f t="shared" si="73"/>
        <v>4050</v>
      </c>
      <c r="AB240" s="50">
        <f t="shared" si="74"/>
        <v>450</v>
      </c>
      <c r="AC240" s="50">
        <f t="shared" si="75"/>
        <v>3600</v>
      </c>
      <c r="AD240" s="50">
        <f t="shared" si="76"/>
        <v>450</v>
      </c>
      <c r="AE240" s="50">
        <f t="shared" si="77"/>
        <v>3150</v>
      </c>
      <c r="AF240" s="50">
        <f t="shared" si="78"/>
        <v>450</v>
      </c>
      <c r="AG240" s="51" t="str">
        <f t="shared" si="79"/>
        <v xml:space="preserve">12 FURNITURE &amp; FIXTUREALL </v>
      </c>
      <c r="AH240" s="41"/>
      <c r="AI240" s="51" t="s">
        <v>707</v>
      </c>
      <c r="AJ240" s="51" t="s">
        <v>708</v>
      </c>
    </row>
    <row r="241" spans="1:36" ht="15.95" customHeight="1">
      <c r="A241" s="76" t="s">
        <v>744</v>
      </c>
      <c r="B241" s="84" t="s">
        <v>739</v>
      </c>
      <c r="C241" s="132" t="s">
        <v>732</v>
      </c>
      <c r="D241" s="133" t="s">
        <v>745</v>
      </c>
      <c r="E241" s="134" t="s">
        <v>119</v>
      </c>
      <c r="F241" s="42" t="s">
        <v>72</v>
      </c>
      <c r="G241" s="42" t="s">
        <v>457</v>
      </c>
      <c r="H241" s="41">
        <v>2026</v>
      </c>
      <c r="I241" s="60" t="s">
        <v>228</v>
      </c>
      <c r="J241" s="60"/>
      <c r="K241" s="46">
        <v>5</v>
      </c>
      <c r="L241" s="54">
        <v>500</v>
      </c>
      <c r="M241" s="48">
        <f>+IF(E241="",0,VLOOKUP(E241,[1]Code!J:K,2,0))</f>
        <v>8</v>
      </c>
      <c r="N241" s="49">
        <f t="shared" si="60"/>
        <v>0.125</v>
      </c>
      <c r="O241" s="50">
        <f t="shared" si="61"/>
        <v>0</v>
      </c>
      <c r="P241" s="50">
        <f t="shared" si="62"/>
        <v>0</v>
      </c>
      <c r="Q241" s="50">
        <f t="shared" si="63"/>
        <v>0</v>
      </c>
      <c r="R241" s="50">
        <f t="shared" si="64"/>
        <v>0</v>
      </c>
      <c r="S241" s="50">
        <f t="shared" si="65"/>
        <v>0</v>
      </c>
      <c r="T241" s="50">
        <f t="shared" si="66"/>
        <v>0</v>
      </c>
      <c r="U241" s="50">
        <f t="shared" si="67"/>
        <v>0</v>
      </c>
      <c r="V241" s="50">
        <f t="shared" si="68"/>
        <v>0</v>
      </c>
      <c r="W241" s="50">
        <f t="shared" si="69"/>
        <v>0</v>
      </c>
      <c r="X241" s="50">
        <f t="shared" si="70"/>
        <v>0</v>
      </c>
      <c r="Y241" s="50">
        <f t="shared" si="71"/>
        <v>500</v>
      </c>
      <c r="Z241" s="50">
        <f t="shared" si="72"/>
        <v>62.5</v>
      </c>
      <c r="AA241" s="50">
        <f t="shared" si="73"/>
        <v>437.5</v>
      </c>
      <c r="AB241" s="50">
        <f t="shared" si="74"/>
        <v>62.5</v>
      </c>
      <c r="AC241" s="50">
        <f t="shared" si="75"/>
        <v>375</v>
      </c>
      <c r="AD241" s="50">
        <f t="shared" si="76"/>
        <v>62.5</v>
      </c>
      <c r="AE241" s="50">
        <f t="shared" si="77"/>
        <v>312.5</v>
      </c>
      <c r="AF241" s="50">
        <f t="shared" si="78"/>
        <v>62.5</v>
      </c>
      <c r="AG241" s="51" t="str">
        <f t="shared" si="79"/>
        <v xml:space="preserve">5 MACHINERY,UTILITIESALL </v>
      </c>
      <c r="AH241" s="41"/>
      <c r="AI241" s="51" t="s">
        <v>707</v>
      </c>
      <c r="AJ241" s="51" t="s">
        <v>708</v>
      </c>
    </row>
    <row r="242" spans="1:36" ht="15.95" customHeight="1">
      <c r="A242" s="76" t="s">
        <v>746</v>
      </c>
      <c r="B242" s="84" t="s">
        <v>731</v>
      </c>
      <c r="C242" s="132" t="s">
        <v>732</v>
      </c>
      <c r="D242" s="133" t="s">
        <v>747</v>
      </c>
      <c r="E242" s="134" t="s">
        <v>119</v>
      </c>
      <c r="F242" s="42" t="s">
        <v>72</v>
      </c>
      <c r="G242" s="42" t="s">
        <v>457</v>
      </c>
      <c r="H242" s="41">
        <v>2026</v>
      </c>
      <c r="I242" s="60" t="s">
        <v>734</v>
      </c>
      <c r="J242" s="60"/>
      <c r="K242" s="46">
        <v>1</v>
      </c>
      <c r="L242" s="54">
        <v>1500</v>
      </c>
      <c r="M242" s="48">
        <f>+IF(E242="",0,VLOOKUP(E242,[1]Code!J:K,2,0))</f>
        <v>8</v>
      </c>
      <c r="N242" s="49">
        <f t="shared" si="60"/>
        <v>0.125</v>
      </c>
      <c r="O242" s="50">
        <f t="shared" si="61"/>
        <v>0</v>
      </c>
      <c r="P242" s="50">
        <f t="shared" si="62"/>
        <v>0</v>
      </c>
      <c r="Q242" s="50">
        <f t="shared" si="63"/>
        <v>0</v>
      </c>
      <c r="R242" s="50">
        <f t="shared" si="64"/>
        <v>0</v>
      </c>
      <c r="S242" s="50">
        <f t="shared" si="65"/>
        <v>0</v>
      </c>
      <c r="T242" s="50">
        <f t="shared" si="66"/>
        <v>0</v>
      </c>
      <c r="U242" s="50">
        <f t="shared" si="67"/>
        <v>0</v>
      </c>
      <c r="V242" s="50">
        <f t="shared" si="68"/>
        <v>0</v>
      </c>
      <c r="W242" s="50">
        <f t="shared" si="69"/>
        <v>0</v>
      </c>
      <c r="X242" s="50">
        <f t="shared" si="70"/>
        <v>0</v>
      </c>
      <c r="Y242" s="50">
        <f t="shared" si="71"/>
        <v>1500</v>
      </c>
      <c r="Z242" s="50">
        <f t="shared" si="72"/>
        <v>187.5</v>
      </c>
      <c r="AA242" s="50">
        <f t="shared" si="73"/>
        <v>1312.5</v>
      </c>
      <c r="AB242" s="50">
        <f t="shared" si="74"/>
        <v>187.5</v>
      </c>
      <c r="AC242" s="50">
        <f t="shared" si="75"/>
        <v>1125</v>
      </c>
      <c r="AD242" s="50">
        <f t="shared" si="76"/>
        <v>187.5</v>
      </c>
      <c r="AE242" s="50">
        <f t="shared" si="77"/>
        <v>937.5</v>
      </c>
      <c r="AF242" s="50">
        <f t="shared" si="78"/>
        <v>187.5</v>
      </c>
      <c r="AG242" s="51" t="str">
        <f t="shared" si="79"/>
        <v xml:space="preserve">5 MACHINERY,UTILITIESALL </v>
      </c>
      <c r="AH242" s="41"/>
      <c r="AI242" s="51" t="s">
        <v>707</v>
      </c>
      <c r="AJ242" s="51" t="s">
        <v>708</v>
      </c>
    </row>
    <row r="243" spans="1:36" ht="15.95" customHeight="1">
      <c r="A243" s="76" t="s">
        <v>748</v>
      </c>
      <c r="B243" s="84" t="s">
        <v>731</v>
      </c>
      <c r="C243" s="132" t="s">
        <v>732</v>
      </c>
      <c r="D243" s="133" t="s">
        <v>749</v>
      </c>
      <c r="E243" s="134" t="s">
        <v>119</v>
      </c>
      <c r="F243" s="42" t="s">
        <v>72</v>
      </c>
      <c r="G243" s="42" t="s">
        <v>457</v>
      </c>
      <c r="H243" s="41">
        <v>2026</v>
      </c>
      <c r="I243" s="60" t="s">
        <v>734</v>
      </c>
      <c r="J243" s="60"/>
      <c r="K243" s="46">
        <v>1</v>
      </c>
      <c r="L243" s="54">
        <v>1500</v>
      </c>
      <c r="M243" s="48">
        <f>+IF(E243="",0,VLOOKUP(E243,[1]Code!J:K,2,0))</f>
        <v>8</v>
      </c>
      <c r="N243" s="49">
        <f t="shared" si="60"/>
        <v>0.125</v>
      </c>
      <c r="O243" s="50">
        <f t="shared" si="61"/>
        <v>0</v>
      </c>
      <c r="P243" s="50">
        <f t="shared" si="62"/>
        <v>0</v>
      </c>
      <c r="Q243" s="50">
        <f t="shared" si="63"/>
        <v>0</v>
      </c>
      <c r="R243" s="50">
        <f t="shared" si="64"/>
        <v>0</v>
      </c>
      <c r="S243" s="50">
        <f t="shared" si="65"/>
        <v>0</v>
      </c>
      <c r="T243" s="50">
        <f t="shared" si="66"/>
        <v>0</v>
      </c>
      <c r="U243" s="50">
        <f t="shared" si="67"/>
        <v>0</v>
      </c>
      <c r="V243" s="50">
        <f t="shared" si="68"/>
        <v>0</v>
      </c>
      <c r="W243" s="50">
        <f t="shared" si="69"/>
        <v>0</v>
      </c>
      <c r="X243" s="50">
        <f t="shared" si="70"/>
        <v>0</v>
      </c>
      <c r="Y243" s="50">
        <f t="shared" si="71"/>
        <v>1500</v>
      </c>
      <c r="Z243" s="50">
        <f t="shared" si="72"/>
        <v>187.5</v>
      </c>
      <c r="AA243" s="50">
        <f t="shared" si="73"/>
        <v>1312.5</v>
      </c>
      <c r="AB243" s="50">
        <f t="shared" si="74"/>
        <v>187.5</v>
      </c>
      <c r="AC243" s="50">
        <f t="shared" si="75"/>
        <v>1125</v>
      </c>
      <c r="AD243" s="50">
        <f t="shared" si="76"/>
        <v>187.5</v>
      </c>
      <c r="AE243" s="50">
        <f t="shared" si="77"/>
        <v>937.5</v>
      </c>
      <c r="AF243" s="50">
        <f t="shared" si="78"/>
        <v>187.5</v>
      </c>
      <c r="AG243" s="51" t="str">
        <f t="shared" si="79"/>
        <v xml:space="preserve">5 MACHINERY,UTILITIESALL </v>
      </c>
      <c r="AH243" s="41"/>
      <c r="AI243" s="51" t="s">
        <v>707</v>
      </c>
      <c r="AJ243" s="51" t="s">
        <v>708</v>
      </c>
    </row>
    <row r="244" spans="1:36" ht="15.95" customHeight="1">
      <c r="A244" s="76" t="s">
        <v>750</v>
      </c>
      <c r="B244" s="84" t="s">
        <v>731</v>
      </c>
      <c r="C244" s="132" t="s">
        <v>732</v>
      </c>
      <c r="D244" s="133" t="s">
        <v>751</v>
      </c>
      <c r="E244" s="134" t="s">
        <v>119</v>
      </c>
      <c r="F244" s="42" t="s">
        <v>72</v>
      </c>
      <c r="G244" s="42" t="s">
        <v>457</v>
      </c>
      <c r="H244" s="41">
        <v>2026</v>
      </c>
      <c r="I244" s="60" t="s">
        <v>737</v>
      </c>
      <c r="J244" s="60"/>
      <c r="K244" s="46">
        <v>1</v>
      </c>
      <c r="L244" s="54">
        <v>1500</v>
      </c>
      <c r="M244" s="48">
        <f>+IF(E244="",0,VLOOKUP(E244,[1]Code!J:K,2,0))</f>
        <v>8</v>
      </c>
      <c r="N244" s="49">
        <f t="shared" si="60"/>
        <v>0.125</v>
      </c>
      <c r="O244" s="50">
        <f t="shared" si="61"/>
        <v>0</v>
      </c>
      <c r="P244" s="50">
        <f t="shared" si="62"/>
        <v>0</v>
      </c>
      <c r="Q244" s="50">
        <f t="shared" si="63"/>
        <v>0</v>
      </c>
      <c r="R244" s="50">
        <f t="shared" si="64"/>
        <v>0</v>
      </c>
      <c r="S244" s="50">
        <f t="shared" si="65"/>
        <v>0</v>
      </c>
      <c r="T244" s="50">
        <f t="shared" si="66"/>
        <v>0</v>
      </c>
      <c r="U244" s="50">
        <f t="shared" si="67"/>
        <v>0</v>
      </c>
      <c r="V244" s="50">
        <f t="shared" si="68"/>
        <v>0</v>
      </c>
      <c r="W244" s="50">
        <f t="shared" si="69"/>
        <v>0</v>
      </c>
      <c r="X244" s="50">
        <f t="shared" si="70"/>
        <v>0</v>
      </c>
      <c r="Y244" s="50">
        <f t="shared" si="71"/>
        <v>1500</v>
      </c>
      <c r="Z244" s="50">
        <f t="shared" si="72"/>
        <v>187.5</v>
      </c>
      <c r="AA244" s="50">
        <f t="shared" si="73"/>
        <v>1312.5</v>
      </c>
      <c r="AB244" s="50">
        <f t="shared" si="74"/>
        <v>187.5</v>
      </c>
      <c r="AC244" s="50">
        <f t="shared" si="75"/>
        <v>1125</v>
      </c>
      <c r="AD244" s="50">
        <f t="shared" si="76"/>
        <v>187.5</v>
      </c>
      <c r="AE244" s="50">
        <f t="shared" si="77"/>
        <v>937.5</v>
      </c>
      <c r="AF244" s="50">
        <f t="shared" si="78"/>
        <v>187.5</v>
      </c>
      <c r="AG244" s="51" t="str">
        <f t="shared" si="79"/>
        <v xml:space="preserve">5 MACHINERY,UTILITIESALL </v>
      </c>
      <c r="AH244" s="41"/>
      <c r="AI244" s="51" t="s">
        <v>707</v>
      </c>
      <c r="AJ244" s="51" t="s">
        <v>708</v>
      </c>
    </row>
    <row r="245" spans="1:36" ht="15.95" customHeight="1">
      <c r="A245" s="76" t="s">
        <v>752</v>
      </c>
      <c r="B245" s="84" t="s">
        <v>731</v>
      </c>
      <c r="C245" s="132" t="s">
        <v>732</v>
      </c>
      <c r="D245" s="133" t="s">
        <v>753</v>
      </c>
      <c r="E245" s="134" t="s">
        <v>119</v>
      </c>
      <c r="F245" s="42" t="s">
        <v>72</v>
      </c>
      <c r="G245" s="42" t="s">
        <v>457</v>
      </c>
      <c r="H245" s="41">
        <v>2026</v>
      </c>
      <c r="I245" s="60" t="s">
        <v>228</v>
      </c>
      <c r="J245" s="60"/>
      <c r="K245" s="46">
        <v>1</v>
      </c>
      <c r="L245" s="54">
        <v>650</v>
      </c>
      <c r="M245" s="48">
        <f>+IF(E245="",0,VLOOKUP(E245,[1]Code!J:K,2,0))</f>
        <v>8</v>
      </c>
      <c r="N245" s="49">
        <f t="shared" si="60"/>
        <v>0.125</v>
      </c>
      <c r="O245" s="50">
        <f t="shared" si="61"/>
        <v>0</v>
      </c>
      <c r="P245" s="50">
        <f t="shared" si="62"/>
        <v>0</v>
      </c>
      <c r="Q245" s="50">
        <f t="shared" si="63"/>
        <v>0</v>
      </c>
      <c r="R245" s="50">
        <f t="shared" si="64"/>
        <v>0</v>
      </c>
      <c r="S245" s="50">
        <f t="shared" si="65"/>
        <v>0</v>
      </c>
      <c r="T245" s="50">
        <f t="shared" si="66"/>
        <v>0</v>
      </c>
      <c r="U245" s="50">
        <f t="shared" si="67"/>
        <v>0</v>
      </c>
      <c r="V245" s="50">
        <f t="shared" si="68"/>
        <v>0</v>
      </c>
      <c r="W245" s="50">
        <f t="shared" si="69"/>
        <v>0</v>
      </c>
      <c r="X245" s="50">
        <f t="shared" si="70"/>
        <v>0</v>
      </c>
      <c r="Y245" s="50">
        <f t="shared" si="71"/>
        <v>650</v>
      </c>
      <c r="Z245" s="50">
        <f t="shared" si="72"/>
        <v>81.25</v>
      </c>
      <c r="AA245" s="50">
        <f t="shared" si="73"/>
        <v>568.75</v>
      </c>
      <c r="AB245" s="50">
        <f t="shared" si="74"/>
        <v>81.25</v>
      </c>
      <c r="AC245" s="50">
        <f t="shared" si="75"/>
        <v>487.5</v>
      </c>
      <c r="AD245" s="50">
        <f t="shared" si="76"/>
        <v>81.25</v>
      </c>
      <c r="AE245" s="50">
        <f t="shared" si="77"/>
        <v>406.25</v>
      </c>
      <c r="AF245" s="50">
        <f t="shared" si="78"/>
        <v>81.25</v>
      </c>
      <c r="AG245" s="51" t="str">
        <f t="shared" si="79"/>
        <v xml:space="preserve">5 MACHINERY,UTILITIESALL </v>
      </c>
      <c r="AH245" s="41"/>
      <c r="AI245" s="51" t="s">
        <v>707</v>
      </c>
      <c r="AJ245" s="51" t="s">
        <v>708</v>
      </c>
    </row>
    <row r="246" spans="1:36" ht="15.95" customHeight="1">
      <c r="A246" s="76" t="s">
        <v>754</v>
      </c>
      <c r="B246" s="84" t="s">
        <v>731</v>
      </c>
      <c r="C246" s="132" t="s">
        <v>732</v>
      </c>
      <c r="D246" s="133" t="s">
        <v>755</v>
      </c>
      <c r="E246" s="134" t="s">
        <v>119</v>
      </c>
      <c r="F246" s="42" t="s">
        <v>72</v>
      </c>
      <c r="G246" s="42" t="s">
        <v>457</v>
      </c>
      <c r="H246" s="41">
        <v>2026</v>
      </c>
      <c r="I246" s="60" t="s">
        <v>737</v>
      </c>
      <c r="J246" s="60"/>
      <c r="K246" s="46">
        <v>1</v>
      </c>
      <c r="L246" s="54">
        <v>200</v>
      </c>
      <c r="M246" s="48">
        <f>+IF(E246="",0,VLOOKUP(E246,[1]Code!J:K,2,0))</f>
        <v>8</v>
      </c>
      <c r="N246" s="49">
        <f t="shared" si="60"/>
        <v>0.125</v>
      </c>
      <c r="O246" s="50">
        <f t="shared" si="61"/>
        <v>0</v>
      </c>
      <c r="P246" s="50">
        <f t="shared" si="62"/>
        <v>0</v>
      </c>
      <c r="Q246" s="50">
        <f t="shared" si="63"/>
        <v>0</v>
      </c>
      <c r="R246" s="50">
        <f t="shared" si="64"/>
        <v>0</v>
      </c>
      <c r="S246" s="50">
        <f t="shared" si="65"/>
        <v>0</v>
      </c>
      <c r="T246" s="50">
        <f t="shared" si="66"/>
        <v>0</v>
      </c>
      <c r="U246" s="50">
        <f t="shared" si="67"/>
        <v>0</v>
      </c>
      <c r="V246" s="50">
        <f t="shared" si="68"/>
        <v>0</v>
      </c>
      <c r="W246" s="50">
        <f t="shared" si="69"/>
        <v>0</v>
      </c>
      <c r="X246" s="50">
        <f t="shared" si="70"/>
        <v>0</v>
      </c>
      <c r="Y246" s="50">
        <f t="shared" si="71"/>
        <v>200</v>
      </c>
      <c r="Z246" s="50">
        <f t="shared" si="72"/>
        <v>25</v>
      </c>
      <c r="AA246" s="50">
        <f t="shared" si="73"/>
        <v>175</v>
      </c>
      <c r="AB246" s="50">
        <f t="shared" si="74"/>
        <v>25</v>
      </c>
      <c r="AC246" s="50">
        <f t="shared" si="75"/>
        <v>150</v>
      </c>
      <c r="AD246" s="50">
        <f t="shared" si="76"/>
        <v>25</v>
      </c>
      <c r="AE246" s="50">
        <f t="shared" si="77"/>
        <v>125</v>
      </c>
      <c r="AF246" s="50">
        <f t="shared" si="78"/>
        <v>25</v>
      </c>
      <c r="AG246" s="51" t="str">
        <f t="shared" si="79"/>
        <v xml:space="preserve">5 MACHINERY,UTILITIESALL </v>
      </c>
      <c r="AH246" s="41"/>
      <c r="AI246" s="51" t="s">
        <v>707</v>
      </c>
      <c r="AJ246" s="51" t="s">
        <v>708</v>
      </c>
    </row>
    <row r="247" spans="1:36" ht="15.95" customHeight="1">
      <c r="A247" s="76" t="s">
        <v>756</v>
      </c>
      <c r="B247" s="84" t="s">
        <v>731</v>
      </c>
      <c r="C247" s="132" t="s">
        <v>732</v>
      </c>
      <c r="D247" s="133" t="s">
        <v>757</v>
      </c>
      <c r="E247" s="134" t="s">
        <v>119</v>
      </c>
      <c r="F247" s="42" t="s">
        <v>72</v>
      </c>
      <c r="G247" s="42" t="s">
        <v>457</v>
      </c>
      <c r="H247" s="41">
        <v>2026</v>
      </c>
      <c r="I247" s="60" t="s">
        <v>737</v>
      </c>
      <c r="J247" s="60"/>
      <c r="K247" s="46">
        <v>2</v>
      </c>
      <c r="L247" s="54">
        <v>600</v>
      </c>
      <c r="M247" s="48">
        <f>+IF(E247="",0,VLOOKUP(E247,[1]Code!J:K,2,0))</f>
        <v>8</v>
      </c>
      <c r="N247" s="49">
        <f t="shared" si="60"/>
        <v>0.125</v>
      </c>
      <c r="O247" s="50">
        <f t="shared" si="61"/>
        <v>0</v>
      </c>
      <c r="P247" s="50">
        <f t="shared" si="62"/>
        <v>0</v>
      </c>
      <c r="Q247" s="50">
        <f t="shared" si="63"/>
        <v>0</v>
      </c>
      <c r="R247" s="50">
        <f t="shared" si="64"/>
        <v>0</v>
      </c>
      <c r="S247" s="50">
        <f t="shared" si="65"/>
        <v>0</v>
      </c>
      <c r="T247" s="50">
        <f t="shared" si="66"/>
        <v>0</v>
      </c>
      <c r="U247" s="50">
        <f t="shared" si="67"/>
        <v>0</v>
      </c>
      <c r="V247" s="50">
        <f t="shared" si="68"/>
        <v>0</v>
      </c>
      <c r="W247" s="50">
        <f t="shared" si="69"/>
        <v>0</v>
      </c>
      <c r="X247" s="50">
        <f t="shared" si="70"/>
        <v>0</v>
      </c>
      <c r="Y247" s="50">
        <f t="shared" si="71"/>
        <v>600</v>
      </c>
      <c r="Z247" s="50">
        <f t="shared" si="72"/>
        <v>75</v>
      </c>
      <c r="AA247" s="50">
        <f t="shared" si="73"/>
        <v>525</v>
      </c>
      <c r="AB247" s="50">
        <f t="shared" si="74"/>
        <v>75</v>
      </c>
      <c r="AC247" s="50">
        <f t="shared" si="75"/>
        <v>450</v>
      </c>
      <c r="AD247" s="50">
        <f t="shared" si="76"/>
        <v>75</v>
      </c>
      <c r="AE247" s="50">
        <f t="shared" si="77"/>
        <v>375</v>
      </c>
      <c r="AF247" s="50">
        <f t="shared" si="78"/>
        <v>75</v>
      </c>
      <c r="AG247" s="51" t="str">
        <f t="shared" si="79"/>
        <v xml:space="preserve">5 MACHINERY,UTILITIESALL </v>
      </c>
      <c r="AH247" s="41"/>
      <c r="AI247" s="51" t="s">
        <v>707</v>
      </c>
      <c r="AJ247" s="51" t="s">
        <v>708</v>
      </c>
    </row>
    <row r="248" spans="1:36" ht="15.95" customHeight="1">
      <c r="A248" s="76" t="s">
        <v>758</v>
      </c>
      <c r="B248" s="84" t="s">
        <v>731</v>
      </c>
      <c r="C248" s="132" t="s">
        <v>732</v>
      </c>
      <c r="D248" s="133" t="s">
        <v>759</v>
      </c>
      <c r="E248" s="134" t="s">
        <v>119</v>
      </c>
      <c r="F248" s="42" t="s">
        <v>72</v>
      </c>
      <c r="G248" s="42" t="s">
        <v>457</v>
      </c>
      <c r="H248" s="41">
        <v>2026</v>
      </c>
      <c r="I248" s="60" t="s">
        <v>734</v>
      </c>
      <c r="J248" s="60"/>
      <c r="K248" s="46">
        <v>1</v>
      </c>
      <c r="L248" s="54">
        <v>200</v>
      </c>
      <c r="M248" s="48">
        <f>+IF(E248="",0,VLOOKUP(E248,[1]Code!J:K,2,0))</f>
        <v>8</v>
      </c>
      <c r="N248" s="49">
        <f t="shared" si="60"/>
        <v>0.125</v>
      </c>
      <c r="O248" s="50">
        <f t="shared" si="61"/>
        <v>0</v>
      </c>
      <c r="P248" s="50">
        <f t="shared" si="62"/>
        <v>0</v>
      </c>
      <c r="Q248" s="50">
        <f t="shared" si="63"/>
        <v>0</v>
      </c>
      <c r="R248" s="50">
        <f t="shared" si="64"/>
        <v>0</v>
      </c>
      <c r="S248" s="50">
        <f t="shared" si="65"/>
        <v>0</v>
      </c>
      <c r="T248" s="50">
        <f t="shared" si="66"/>
        <v>0</v>
      </c>
      <c r="U248" s="50">
        <f t="shared" si="67"/>
        <v>0</v>
      </c>
      <c r="V248" s="50">
        <f t="shared" si="68"/>
        <v>0</v>
      </c>
      <c r="W248" s="50">
        <f t="shared" si="69"/>
        <v>0</v>
      </c>
      <c r="X248" s="50">
        <f t="shared" si="70"/>
        <v>0</v>
      </c>
      <c r="Y248" s="50">
        <f t="shared" si="71"/>
        <v>200</v>
      </c>
      <c r="Z248" s="50">
        <f t="shared" si="72"/>
        <v>25</v>
      </c>
      <c r="AA248" s="50">
        <f t="shared" si="73"/>
        <v>175</v>
      </c>
      <c r="AB248" s="50">
        <f t="shared" si="74"/>
        <v>25</v>
      </c>
      <c r="AC248" s="50">
        <f t="shared" si="75"/>
        <v>150</v>
      </c>
      <c r="AD248" s="50">
        <f t="shared" si="76"/>
        <v>25</v>
      </c>
      <c r="AE248" s="50">
        <f t="shared" si="77"/>
        <v>125</v>
      </c>
      <c r="AF248" s="50">
        <f t="shared" si="78"/>
        <v>25</v>
      </c>
      <c r="AG248" s="51" t="str">
        <f t="shared" si="79"/>
        <v xml:space="preserve">5 MACHINERY,UTILITIESALL </v>
      </c>
      <c r="AH248" s="41"/>
      <c r="AI248" s="51" t="s">
        <v>707</v>
      </c>
      <c r="AJ248" s="51" t="s">
        <v>708</v>
      </c>
    </row>
    <row r="249" spans="1:36" ht="15.95" customHeight="1">
      <c r="A249" s="76" t="s">
        <v>760</v>
      </c>
      <c r="B249" s="84" t="s">
        <v>731</v>
      </c>
      <c r="C249" s="132" t="s">
        <v>732</v>
      </c>
      <c r="D249" s="133" t="s">
        <v>761</v>
      </c>
      <c r="E249" s="134" t="s">
        <v>90</v>
      </c>
      <c r="F249" s="42" t="s">
        <v>72</v>
      </c>
      <c r="G249" s="42" t="s">
        <v>457</v>
      </c>
      <c r="H249" s="41">
        <v>2026</v>
      </c>
      <c r="I249" s="60" t="s">
        <v>734</v>
      </c>
      <c r="J249" s="60"/>
      <c r="K249" s="46">
        <v>2</v>
      </c>
      <c r="L249" s="54">
        <v>150</v>
      </c>
      <c r="M249" s="48">
        <f>+IF(E249="",0,VLOOKUP(E249,[1]Code!J:K,2,0))</f>
        <v>10</v>
      </c>
      <c r="N249" s="49">
        <f t="shared" si="60"/>
        <v>0.1</v>
      </c>
      <c r="O249" s="50">
        <f t="shared" si="61"/>
        <v>0</v>
      </c>
      <c r="P249" s="50">
        <f t="shared" si="62"/>
        <v>0</v>
      </c>
      <c r="Q249" s="50">
        <f t="shared" si="63"/>
        <v>0</v>
      </c>
      <c r="R249" s="50">
        <f t="shared" si="64"/>
        <v>0</v>
      </c>
      <c r="S249" s="50">
        <f t="shared" si="65"/>
        <v>0</v>
      </c>
      <c r="T249" s="50">
        <f t="shared" si="66"/>
        <v>0</v>
      </c>
      <c r="U249" s="50">
        <f t="shared" si="67"/>
        <v>0</v>
      </c>
      <c r="V249" s="50">
        <f t="shared" si="68"/>
        <v>0</v>
      </c>
      <c r="W249" s="50">
        <f t="shared" si="69"/>
        <v>0</v>
      </c>
      <c r="X249" s="50">
        <f t="shared" si="70"/>
        <v>0</v>
      </c>
      <c r="Y249" s="50">
        <f t="shared" si="71"/>
        <v>150</v>
      </c>
      <c r="Z249" s="50">
        <f t="shared" si="72"/>
        <v>15</v>
      </c>
      <c r="AA249" s="50">
        <f t="shared" si="73"/>
        <v>135</v>
      </c>
      <c r="AB249" s="50">
        <f t="shared" si="74"/>
        <v>15</v>
      </c>
      <c r="AC249" s="50">
        <f t="shared" si="75"/>
        <v>120</v>
      </c>
      <c r="AD249" s="50">
        <f t="shared" si="76"/>
        <v>15</v>
      </c>
      <c r="AE249" s="50">
        <f t="shared" si="77"/>
        <v>105</v>
      </c>
      <c r="AF249" s="50">
        <f t="shared" si="78"/>
        <v>15</v>
      </c>
      <c r="AG249" s="51" t="str">
        <f t="shared" si="79"/>
        <v xml:space="preserve">12 FURNITURE &amp; FIXTUREALL </v>
      </c>
      <c r="AH249" s="41"/>
      <c r="AI249" s="51" t="s">
        <v>707</v>
      </c>
      <c r="AJ249" s="51" t="s">
        <v>708</v>
      </c>
    </row>
    <row r="250" spans="1:36" ht="15.95" customHeight="1">
      <c r="A250" s="76" t="s">
        <v>762</v>
      </c>
      <c r="B250" s="84" t="s">
        <v>731</v>
      </c>
      <c r="C250" s="132" t="s">
        <v>732</v>
      </c>
      <c r="D250" s="133" t="s">
        <v>763</v>
      </c>
      <c r="E250" s="134" t="s">
        <v>90</v>
      </c>
      <c r="F250" s="42" t="s">
        <v>72</v>
      </c>
      <c r="G250" s="42" t="s">
        <v>457</v>
      </c>
      <c r="H250" s="41">
        <v>2026</v>
      </c>
      <c r="I250" s="60" t="s">
        <v>764</v>
      </c>
      <c r="J250" s="60"/>
      <c r="K250" s="46">
        <v>1</v>
      </c>
      <c r="L250" s="54">
        <v>100</v>
      </c>
      <c r="M250" s="48">
        <f>+IF(E250="",0,VLOOKUP(E250,[1]Code!J:K,2,0))</f>
        <v>10</v>
      </c>
      <c r="N250" s="49">
        <f t="shared" si="60"/>
        <v>0.1</v>
      </c>
      <c r="O250" s="50">
        <f t="shared" si="61"/>
        <v>0</v>
      </c>
      <c r="P250" s="50">
        <f t="shared" si="62"/>
        <v>0</v>
      </c>
      <c r="Q250" s="50">
        <f t="shared" si="63"/>
        <v>0</v>
      </c>
      <c r="R250" s="50">
        <f t="shared" si="64"/>
        <v>0</v>
      </c>
      <c r="S250" s="50">
        <f t="shared" si="65"/>
        <v>0</v>
      </c>
      <c r="T250" s="50">
        <f t="shared" si="66"/>
        <v>0</v>
      </c>
      <c r="U250" s="50">
        <f t="shared" si="67"/>
        <v>0</v>
      </c>
      <c r="V250" s="50">
        <f t="shared" si="68"/>
        <v>0</v>
      </c>
      <c r="W250" s="50">
        <f t="shared" si="69"/>
        <v>0</v>
      </c>
      <c r="X250" s="50">
        <f t="shared" si="70"/>
        <v>0</v>
      </c>
      <c r="Y250" s="50">
        <f t="shared" si="71"/>
        <v>100</v>
      </c>
      <c r="Z250" s="50">
        <f t="shared" si="72"/>
        <v>10</v>
      </c>
      <c r="AA250" s="50">
        <f t="shared" si="73"/>
        <v>90</v>
      </c>
      <c r="AB250" s="50">
        <f t="shared" si="74"/>
        <v>10</v>
      </c>
      <c r="AC250" s="50">
        <f t="shared" si="75"/>
        <v>80</v>
      </c>
      <c r="AD250" s="50">
        <f t="shared" si="76"/>
        <v>10</v>
      </c>
      <c r="AE250" s="50">
        <f t="shared" si="77"/>
        <v>70</v>
      </c>
      <c r="AF250" s="50">
        <f t="shared" si="78"/>
        <v>10</v>
      </c>
      <c r="AG250" s="51" t="str">
        <f t="shared" si="79"/>
        <v xml:space="preserve">12 FURNITURE &amp; FIXTUREALL </v>
      </c>
      <c r="AH250" s="41"/>
      <c r="AI250" s="51" t="s">
        <v>707</v>
      </c>
      <c r="AJ250" s="51" t="s">
        <v>708</v>
      </c>
    </row>
    <row r="251" spans="1:36" ht="15.95" customHeight="1">
      <c r="A251" s="76" t="s">
        <v>765</v>
      </c>
      <c r="B251" s="84" t="s">
        <v>731</v>
      </c>
      <c r="C251" s="132" t="s">
        <v>732</v>
      </c>
      <c r="D251" s="133" t="s">
        <v>766</v>
      </c>
      <c r="E251" s="134" t="s">
        <v>119</v>
      </c>
      <c r="F251" s="42" t="s">
        <v>72</v>
      </c>
      <c r="G251" s="42" t="s">
        <v>457</v>
      </c>
      <c r="H251" s="41">
        <v>2026</v>
      </c>
      <c r="I251" s="60" t="s">
        <v>767</v>
      </c>
      <c r="J251" s="60"/>
      <c r="K251" s="46">
        <v>1</v>
      </c>
      <c r="L251" s="54">
        <v>3000</v>
      </c>
      <c r="M251" s="48">
        <f>+IF(E251="",0,VLOOKUP(E251,[1]Code!J:K,2,0))</f>
        <v>8</v>
      </c>
      <c r="N251" s="49">
        <f t="shared" si="60"/>
        <v>0.125</v>
      </c>
      <c r="O251" s="50">
        <f t="shared" si="61"/>
        <v>0</v>
      </c>
      <c r="P251" s="50">
        <f t="shared" si="62"/>
        <v>0</v>
      </c>
      <c r="Q251" s="50">
        <f t="shared" si="63"/>
        <v>0</v>
      </c>
      <c r="R251" s="50">
        <f t="shared" si="64"/>
        <v>0</v>
      </c>
      <c r="S251" s="50">
        <f t="shared" si="65"/>
        <v>0</v>
      </c>
      <c r="T251" s="50">
        <f t="shared" si="66"/>
        <v>0</v>
      </c>
      <c r="U251" s="50">
        <f t="shared" si="67"/>
        <v>0</v>
      </c>
      <c r="V251" s="50">
        <f t="shared" si="68"/>
        <v>0</v>
      </c>
      <c r="W251" s="50">
        <f t="shared" si="69"/>
        <v>0</v>
      </c>
      <c r="X251" s="50">
        <f t="shared" si="70"/>
        <v>0</v>
      </c>
      <c r="Y251" s="50">
        <f t="shared" si="71"/>
        <v>3000</v>
      </c>
      <c r="Z251" s="50">
        <f t="shared" si="72"/>
        <v>375</v>
      </c>
      <c r="AA251" s="50">
        <f t="shared" si="73"/>
        <v>2625</v>
      </c>
      <c r="AB251" s="50">
        <f t="shared" si="74"/>
        <v>375</v>
      </c>
      <c r="AC251" s="50">
        <f t="shared" si="75"/>
        <v>2250</v>
      </c>
      <c r="AD251" s="50">
        <f t="shared" si="76"/>
        <v>375</v>
      </c>
      <c r="AE251" s="50">
        <f t="shared" si="77"/>
        <v>1875</v>
      </c>
      <c r="AF251" s="50">
        <f t="shared" si="78"/>
        <v>375</v>
      </c>
      <c r="AG251" s="51" t="str">
        <f t="shared" si="79"/>
        <v xml:space="preserve">5 MACHINERY,UTILITIESALL </v>
      </c>
      <c r="AH251" s="41"/>
      <c r="AI251" s="51" t="s">
        <v>707</v>
      </c>
      <c r="AJ251" s="51" t="s">
        <v>708</v>
      </c>
    </row>
    <row r="252" spans="1:36" ht="15.95" customHeight="1">
      <c r="A252" s="76" t="s">
        <v>768</v>
      </c>
      <c r="B252" s="84" t="s">
        <v>739</v>
      </c>
      <c r="C252" s="132" t="s">
        <v>769</v>
      </c>
      <c r="D252" s="133" t="s">
        <v>770</v>
      </c>
      <c r="E252" s="135" t="s">
        <v>103</v>
      </c>
      <c r="F252" s="42" t="s">
        <v>72</v>
      </c>
      <c r="G252" s="42" t="s">
        <v>771</v>
      </c>
      <c r="H252" s="41">
        <v>2026</v>
      </c>
      <c r="I252" s="60" t="s">
        <v>228</v>
      </c>
      <c r="J252" s="60"/>
      <c r="K252" s="46">
        <v>9</v>
      </c>
      <c r="L252" s="54">
        <v>2500</v>
      </c>
      <c r="M252" s="48">
        <f>+IF(E252="",0,VLOOKUP(E252,[1]Code!J:K,2,0))</f>
        <v>5</v>
      </c>
      <c r="N252" s="49">
        <f t="shared" si="60"/>
        <v>0.2</v>
      </c>
      <c r="O252" s="50">
        <f t="shared" si="61"/>
        <v>0</v>
      </c>
      <c r="P252" s="50">
        <f t="shared" si="62"/>
        <v>0</v>
      </c>
      <c r="Q252" s="50">
        <f t="shared" si="63"/>
        <v>0</v>
      </c>
      <c r="R252" s="50">
        <f t="shared" si="64"/>
        <v>0</v>
      </c>
      <c r="S252" s="50">
        <f t="shared" si="65"/>
        <v>0</v>
      </c>
      <c r="T252" s="50">
        <f t="shared" si="66"/>
        <v>0</v>
      </c>
      <c r="U252" s="50">
        <f t="shared" si="67"/>
        <v>0</v>
      </c>
      <c r="V252" s="50">
        <f t="shared" si="68"/>
        <v>0</v>
      </c>
      <c r="W252" s="50">
        <f t="shared" si="69"/>
        <v>0</v>
      </c>
      <c r="X252" s="50">
        <f t="shared" si="70"/>
        <v>0</v>
      </c>
      <c r="Y252" s="50">
        <f t="shared" si="71"/>
        <v>2500</v>
      </c>
      <c r="Z252" s="50">
        <f t="shared" si="72"/>
        <v>500</v>
      </c>
      <c r="AA252" s="50">
        <f t="shared" si="73"/>
        <v>2000</v>
      </c>
      <c r="AB252" s="50">
        <f t="shared" si="74"/>
        <v>500</v>
      </c>
      <c r="AC252" s="50">
        <f t="shared" si="75"/>
        <v>1500</v>
      </c>
      <c r="AD252" s="50">
        <f t="shared" si="76"/>
        <v>500</v>
      </c>
      <c r="AE252" s="50">
        <f t="shared" si="77"/>
        <v>1000</v>
      </c>
      <c r="AF252" s="50">
        <f t="shared" si="78"/>
        <v>500</v>
      </c>
      <c r="AG252" s="51" t="str">
        <f t="shared" si="79"/>
        <v xml:space="preserve">9 TOOLSALL </v>
      </c>
      <c r="AH252" s="41"/>
      <c r="AI252" s="51" t="s">
        <v>707</v>
      </c>
      <c r="AJ252" s="51" t="s">
        <v>708</v>
      </c>
    </row>
    <row r="253" spans="1:36" ht="15.95" customHeight="1">
      <c r="A253" s="76" t="s">
        <v>772</v>
      </c>
      <c r="B253" s="84" t="s">
        <v>212</v>
      </c>
      <c r="C253" s="132" t="s">
        <v>773</v>
      </c>
      <c r="D253" s="133" t="s">
        <v>774</v>
      </c>
      <c r="E253" s="134" t="s">
        <v>119</v>
      </c>
      <c r="F253" s="42" t="s">
        <v>72</v>
      </c>
      <c r="G253" s="42" t="s">
        <v>457</v>
      </c>
      <c r="H253" s="41">
        <v>2026</v>
      </c>
      <c r="I253" s="60" t="s">
        <v>228</v>
      </c>
      <c r="J253" s="60"/>
      <c r="K253" s="46">
        <v>2</v>
      </c>
      <c r="L253" s="54">
        <v>200</v>
      </c>
      <c r="M253" s="48">
        <f>+IF(E253="",0,VLOOKUP(E253,[1]Code!J:K,2,0))</f>
        <v>8</v>
      </c>
      <c r="N253" s="49">
        <f t="shared" si="60"/>
        <v>0.125</v>
      </c>
      <c r="O253" s="50">
        <f t="shared" si="61"/>
        <v>0</v>
      </c>
      <c r="P253" s="50">
        <f t="shared" si="62"/>
        <v>0</v>
      </c>
      <c r="Q253" s="50">
        <f t="shared" si="63"/>
        <v>0</v>
      </c>
      <c r="R253" s="50">
        <f t="shared" si="64"/>
        <v>0</v>
      </c>
      <c r="S253" s="50">
        <f t="shared" si="65"/>
        <v>0</v>
      </c>
      <c r="T253" s="50">
        <f t="shared" si="66"/>
        <v>0</v>
      </c>
      <c r="U253" s="50">
        <f t="shared" si="67"/>
        <v>0</v>
      </c>
      <c r="V253" s="50">
        <f t="shared" si="68"/>
        <v>0</v>
      </c>
      <c r="W253" s="50">
        <f t="shared" si="69"/>
        <v>0</v>
      </c>
      <c r="X253" s="50">
        <f t="shared" si="70"/>
        <v>0</v>
      </c>
      <c r="Y253" s="50">
        <f t="shared" si="71"/>
        <v>200</v>
      </c>
      <c r="Z253" s="50">
        <f t="shared" si="72"/>
        <v>25</v>
      </c>
      <c r="AA253" s="50">
        <f t="shared" si="73"/>
        <v>175</v>
      </c>
      <c r="AB253" s="50">
        <f t="shared" si="74"/>
        <v>25</v>
      </c>
      <c r="AC253" s="50">
        <f t="shared" si="75"/>
        <v>150</v>
      </c>
      <c r="AD253" s="50">
        <f t="shared" si="76"/>
        <v>25</v>
      </c>
      <c r="AE253" s="50">
        <f t="shared" si="77"/>
        <v>125</v>
      </c>
      <c r="AF253" s="50">
        <f t="shared" si="78"/>
        <v>25</v>
      </c>
      <c r="AG253" s="51" t="str">
        <f t="shared" si="79"/>
        <v xml:space="preserve">5 MACHINERY,UTILITIESALL </v>
      </c>
      <c r="AH253" s="41"/>
      <c r="AI253" s="51" t="s">
        <v>707</v>
      </c>
      <c r="AJ253" s="51" t="s">
        <v>708</v>
      </c>
    </row>
    <row r="254" spans="1:36" ht="15.95" customHeight="1">
      <c r="A254" s="41" t="s">
        <v>775</v>
      </c>
      <c r="B254" s="131" t="s">
        <v>281</v>
      </c>
      <c r="C254" s="55" t="s">
        <v>776</v>
      </c>
      <c r="D254" s="44" t="s">
        <v>777</v>
      </c>
      <c r="E254" s="67" t="s">
        <v>119</v>
      </c>
      <c r="F254" s="42" t="s">
        <v>72</v>
      </c>
      <c r="G254" s="42" t="s">
        <v>778</v>
      </c>
      <c r="H254" s="41">
        <v>2026</v>
      </c>
      <c r="I254" s="45" t="s">
        <v>414</v>
      </c>
      <c r="J254" s="60"/>
      <c r="K254" s="54">
        <v>1</v>
      </c>
      <c r="L254" s="47">
        <v>3500</v>
      </c>
      <c r="M254" s="48">
        <f>+IF(E254="",0,VLOOKUP(E254,[1]Code!J:K,2,0))</f>
        <v>8</v>
      </c>
      <c r="N254" s="49">
        <f t="shared" si="60"/>
        <v>0.125</v>
      </c>
      <c r="O254" s="50">
        <f t="shared" si="61"/>
        <v>0</v>
      </c>
      <c r="P254" s="50">
        <f t="shared" si="62"/>
        <v>0</v>
      </c>
      <c r="Q254" s="50">
        <f t="shared" si="63"/>
        <v>0</v>
      </c>
      <c r="R254" s="50">
        <f t="shared" si="64"/>
        <v>0</v>
      </c>
      <c r="S254" s="50">
        <f t="shared" si="65"/>
        <v>0</v>
      </c>
      <c r="T254" s="50">
        <f t="shared" si="66"/>
        <v>0</v>
      </c>
      <c r="U254" s="50">
        <f t="shared" si="67"/>
        <v>0</v>
      </c>
      <c r="V254" s="50">
        <f t="shared" si="68"/>
        <v>0</v>
      </c>
      <c r="W254" s="50">
        <f t="shared" si="69"/>
        <v>0</v>
      </c>
      <c r="X254" s="50">
        <f t="shared" si="70"/>
        <v>0</v>
      </c>
      <c r="Y254" s="50">
        <f t="shared" si="71"/>
        <v>3500</v>
      </c>
      <c r="Z254" s="50">
        <f t="shared" si="72"/>
        <v>437.5</v>
      </c>
      <c r="AA254" s="50">
        <f t="shared" si="73"/>
        <v>3062.5</v>
      </c>
      <c r="AB254" s="50">
        <f t="shared" si="74"/>
        <v>437.5</v>
      </c>
      <c r="AC254" s="50">
        <f t="shared" si="75"/>
        <v>2625</v>
      </c>
      <c r="AD254" s="50">
        <f t="shared" si="76"/>
        <v>437.5</v>
      </c>
      <c r="AE254" s="50">
        <f t="shared" si="77"/>
        <v>2187.5</v>
      </c>
      <c r="AF254" s="50">
        <f t="shared" si="78"/>
        <v>437.5</v>
      </c>
      <c r="AG254" s="51" t="str">
        <f t="shared" si="79"/>
        <v xml:space="preserve">5 MACHINERY,UTILITIESALL </v>
      </c>
      <c r="AH254" s="41"/>
      <c r="AI254" s="51" t="s">
        <v>779</v>
      </c>
      <c r="AJ254" s="51" t="s">
        <v>778</v>
      </c>
    </row>
    <row r="255" spans="1:36" ht="15.95" customHeight="1">
      <c r="A255" s="41" t="s">
        <v>780</v>
      </c>
      <c r="B255" s="131" t="s">
        <v>225</v>
      </c>
      <c r="C255" s="55" t="s">
        <v>781</v>
      </c>
      <c r="D255" s="52" t="s">
        <v>782</v>
      </c>
      <c r="E255" s="67" t="s">
        <v>119</v>
      </c>
      <c r="F255" s="42" t="s">
        <v>72</v>
      </c>
      <c r="G255" s="42" t="s">
        <v>778</v>
      </c>
      <c r="H255" s="41">
        <v>2026</v>
      </c>
      <c r="I255" s="45" t="s">
        <v>329</v>
      </c>
      <c r="J255" s="60"/>
      <c r="K255" s="54">
        <v>1</v>
      </c>
      <c r="L255" s="47">
        <v>9400</v>
      </c>
      <c r="M255" s="48">
        <f>+IF(E255="",0,VLOOKUP(E255,[1]Code!J:K,2,0))</f>
        <v>8</v>
      </c>
      <c r="N255" s="49">
        <f t="shared" si="60"/>
        <v>0.125</v>
      </c>
      <c r="O255" s="50">
        <f t="shared" si="61"/>
        <v>0</v>
      </c>
      <c r="P255" s="50">
        <f t="shared" si="62"/>
        <v>0</v>
      </c>
      <c r="Q255" s="50">
        <f t="shared" si="63"/>
        <v>0</v>
      </c>
      <c r="R255" s="50">
        <f t="shared" si="64"/>
        <v>0</v>
      </c>
      <c r="S255" s="50">
        <f t="shared" si="65"/>
        <v>0</v>
      </c>
      <c r="T255" s="50">
        <f t="shared" si="66"/>
        <v>0</v>
      </c>
      <c r="U255" s="50">
        <f t="shared" si="67"/>
        <v>0</v>
      </c>
      <c r="V255" s="50">
        <f t="shared" si="68"/>
        <v>0</v>
      </c>
      <c r="W255" s="50">
        <f t="shared" si="69"/>
        <v>0</v>
      </c>
      <c r="X255" s="50">
        <f t="shared" si="70"/>
        <v>0</v>
      </c>
      <c r="Y255" s="50">
        <f t="shared" si="71"/>
        <v>9400</v>
      </c>
      <c r="Z255" s="50">
        <f t="shared" si="72"/>
        <v>1175</v>
      </c>
      <c r="AA255" s="50">
        <f t="shared" si="73"/>
        <v>8225</v>
      </c>
      <c r="AB255" s="50">
        <f t="shared" si="74"/>
        <v>1175</v>
      </c>
      <c r="AC255" s="50">
        <f t="shared" si="75"/>
        <v>7050</v>
      </c>
      <c r="AD255" s="50">
        <f t="shared" si="76"/>
        <v>1175</v>
      </c>
      <c r="AE255" s="50">
        <f t="shared" si="77"/>
        <v>5875</v>
      </c>
      <c r="AF255" s="50">
        <f t="shared" si="78"/>
        <v>1175</v>
      </c>
      <c r="AG255" s="51" t="str">
        <f t="shared" si="79"/>
        <v xml:space="preserve">5 MACHINERY,UTILITIESALL </v>
      </c>
      <c r="AH255" s="41"/>
      <c r="AI255" s="51" t="s">
        <v>779</v>
      </c>
      <c r="AJ255" s="51" t="s">
        <v>778</v>
      </c>
    </row>
    <row r="256" spans="1:36" ht="15.95" customHeight="1">
      <c r="A256" s="41" t="s">
        <v>783</v>
      </c>
      <c r="B256" s="131" t="s">
        <v>277</v>
      </c>
      <c r="C256" s="55" t="s">
        <v>784</v>
      </c>
      <c r="D256" s="44" t="s">
        <v>785</v>
      </c>
      <c r="E256" s="67" t="s">
        <v>119</v>
      </c>
      <c r="F256" s="42" t="s">
        <v>72</v>
      </c>
      <c r="G256" s="42" t="s">
        <v>778</v>
      </c>
      <c r="H256" s="41">
        <v>2026</v>
      </c>
      <c r="I256" s="45" t="s">
        <v>67</v>
      </c>
      <c r="J256" s="60"/>
      <c r="K256" s="54">
        <v>1</v>
      </c>
      <c r="L256" s="47">
        <v>2500</v>
      </c>
      <c r="M256" s="48">
        <f>+IF(E256="",0,VLOOKUP(E256,[1]Code!J:K,2,0))</f>
        <v>8</v>
      </c>
      <c r="N256" s="49">
        <f t="shared" si="60"/>
        <v>0.125</v>
      </c>
      <c r="O256" s="50">
        <f t="shared" si="61"/>
        <v>0</v>
      </c>
      <c r="P256" s="50">
        <f t="shared" si="62"/>
        <v>0</v>
      </c>
      <c r="Q256" s="50">
        <f t="shared" si="63"/>
        <v>0</v>
      </c>
      <c r="R256" s="50">
        <f t="shared" si="64"/>
        <v>0</v>
      </c>
      <c r="S256" s="50">
        <f t="shared" si="65"/>
        <v>0</v>
      </c>
      <c r="T256" s="50">
        <f t="shared" si="66"/>
        <v>0</v>
      </c>
      <c r="U256" s="50">
        <f t="shared" si="67"/>
        <v>0</v>
      </c>
      <c r="V256" s="50">
        <f t="shared" si="68"/>
        <v>0</v>
      </c>
      <c r="W256" s="50">
        <f t="shared" si="69"/>
        <v>0</v>
      </c>
      <c r="X256" s="50">
        <f t="shared" si="70"/>
        <v>0</v>
      </c>
      <c r="Y256" s="50">
        <f t="shared" si="71"/>
        <v>2500</v>
      </c>
      <c r="Z256" s="50">
        <f t="shared" si="72"/>
        <v>312.5</v>
      </c>
      <c r="AA256" s="50">
        <f t="shared" si="73"/>
        <v>2187.5</v>
      </c>
      <c r="AB256" s="50">
        <f t="shared" si="74"/>
        <v>312.5</v>
      </c>
      <c r="AC256" s="50">
        <f t="shared" si="75"/>
        <v>1875</v>
      </c>
      <c r="AD256" s="50">
        <f t="shared" si="76"/>
        <v>312.5</v>
      </c>
      <c r="AE256" s="50">
        <f t="shared" si="77"/>
        <v>1562.5</v>
      </c>
      <c r="AF256" s="50">
        <f t="shared" si="78"/>
        <v>312.5</v>
      </c>
      <c r="AG256" s="51" t="str">
        <f t="shared" si="79"/>
        <v xml:space="preserve">5 MACHINERY,UTILITIESALL </v>
      </c>
      <c r="AH256" s="41"/>
      <c r="AI256" s="51" t="s">
        <v>779</v>
      </c>
      <c r="AJ256" s="51" t="s">
        <v>778</v>
      </c>
    </row>
    <row r="257" spans="1:36" ht="15.95" customHeight="1">
      <c r="A257" s="41" t="s">
        <v>786</v>
      </c>
      <c r="B257" s="42" t="s">
        <v>514</v>
      </c>
      <c r="C257" s="43" t="s">
        <v>787</v>
      </c>
      <c r="D257" s="61" t="s">
        <v>788</v>
      </c>
      <c r="E257" s="42" t="s">
        <v>71</v>
      </c>
      <c r="F257" s="42"/>
      <c r="G257" s="42" t="s">
        <v>789</v>
      </c>
      <c r="H257" s="41">
        <v>2026</v>
      </c>
      <c r="I257" s="45" t="s">
        <v>73</v>
      </c>
      <c r="J257" s="45"/>
      <c r="K257" s="54">
        <v>1</v>
      </c>
      <c r="L257" s="54">
        <v>2000</v>
      </c>
      <c r="M257" s="48">
        <f>+IF(E257="",0,VLOOKUP(E257,[1]Code!J:K,2,0))</f>
        <v>6</v>
      </c>
      <c r="N257" s="49">
        <f t="shared" si="60"/>
        <v>0.16666666666666666</v>
      </c>
      <c r="O257" s="50">
        <f t="shared" si="61"/>
        <v>0</v>
      </c>
      <c r="P257" s="50">
        <f t="shared" si="62"/>
        <v>0</v>
      </c>
      <c r="Q257" s="50">
        <f t="shared" si="63"/>
        <v>0</v>
      </c>
      <c r="R257" s="50">
        <f t="shared" si="64"/>
        <v>0</v>
      </c>
      <c r="S257" s="50">
        <f t="shared" si="65"/>
        <v>0</v>
      </c>
      <c r="T257" s="50">
        <f t="shared" si="66"/>
        <v>0</v>
      </c>
      <c r="U257" s="50">
        <f t="shared" si="67"/>
        <v>0</v>
      </c>
      <c r="V257" s="50">
        <f t="shared" si="68"/>
        <v>0</v>
      </c>
      <c r="W257" s="50">
        <f t="shared" si="69"/>
        <v>0</v>
      </c>
      <c r="X257" s="50">
        <f t="shared" si="70"/>
        <v>0</v>
      </c>
      <c r="Y257" s="50">
        <f t="shared" si="71"/>
        <v>2000</v>
      </c>
      <c r="Z257" s="50">
        <f t="shared" si="72"/>
        <v>333.33300000000003</v>
      </c>
      <c r="AA257" s="50">
        <f t="shared" si="73"/>
        <v>1666.6669999999999</v>
      </c>
      <c r="AB257" s="50">
        <f t="shared" si="74"/>
        <v>333.33300000000003</v>
      </c>
      <c r="AC257" s="50">
        <f t="shared" si="75"/>
        <v>1333.3339999999998</v>
      </c>
      <c r="AD257" s="50">
        <f t="shared" si="76"/>
        <v>333.33300000000003</v>
      </c>
      <c r="AE257" s="50">
        <f t="shared" si="77"/>
        <v>1000.0009999999997</v>
      </c>
      <c r="AF257" s="50">
        <f t="shared" si="78"/>
        <v>333.33300000000003</v>
      </c>
      <c r="AG257" s="51" t="str">
        <f t="shared" si="79"/>
        <v>13 INTANGIBLE ASSETS</v>
      </c>
      <c r="AH257" s="41"/>
      <c r="AI257" s="51">
        <v>8200</v>
      </c>
      <c r="AJ257" s="51" t="s">
        <v>790</v>
      </c>
    </row>
    <row r="258" spans="1:36" ht="15.95" customHeight="1">
      <c r="A258" s="41" t="s">
        <v>791</v>
      </c>
      <c r="B258" s="42" t="s">
        <v>514</v>
      </c>
      <c r="C258" s="55" t="s">
        <v>792</v>
      </c>
      <c r="D258" s="61" t="s">
        <v>792</v>
      </c>
      <c r="E258" s="42" t="s">
        <v>71</v>
      </c>
      <c r="F258" s="42"/>
      <c r="G258" s="42" t="s">
        <v>789</v>
      </c>
      <c r="H258" s="41">
        <v>2026</v>
      </c>
      <c r="I258" s="45" t="s">
        <v>73</v>
      </c>
      <c r="J258" s="45"/>
      <c r="K258" s="54">
        <v>1</v>
      </c>
      <c r="L258" s="54">
        <v>200</v>
      </c>
      <c r="M258" s="48">
        <f>+IF(E258="",0,VLOOKUP(E258,[1]Code!J:K,2,0))</f>
        <v>6</v>
      </c>
      <c r="N258" s="49">
        <f t="shared" si="60"/>
        <v>0.16666666666666666</v>
      </c>
      <c r="O258" s="50">
        <f t="shared" si="61"/>
        <v>0</v>
      </c>
      <c r="P258" s="50">
        <f t="shared" si="62"/>
        <v>0</v>
      </c>
      <c r="Q258" s="50">
        <f t="shared" si="63"/>
        <v>0</v>
      </c>
      <c r="R258" s="50">
        <f t="shared" si="64"/>
        <v>0</v>
      </c>
      <c r="S258" s="50">
        <f t="shared" si="65"/>
        <v>0</v>
      </c>
      <c r="T258" s="50">
        <f t="shared" si="66"/>
        <v>0</v>
      </c>
      <c r="U258" s="50">
        <f t="shared" si="67"/>
        <v>0</v>
      </c>
      <c r="V258" s="50">
        <f t="shared" si="68"/>
        <v>0</v>
      </c>
      <c r="W258" s="50">
        <f t="shared" si="69"/>
        <v>0</v>
      </c>
      <c r="X258" s="50">
        <f t="shared" si="70"/>
        <v>0</v>
      </c>
      <c r="Y258" s="50">
        <f t="shared" si="71"/>
        <v>200</v>
      </c>
      <c r="Z258" s="50">
        <f t="shared" si="72"/>
        <v>33.332999999999998</v>
      </c>
      <c r="AA258" s="50">
        <f t="shared" si="73"/>
        <v>166.667</v>
      </c>
      <c r="AB258" s="50">
        <f t="shared" si="74"/>
        <v>33.332999999999998</v>
      </c>
      <c r="AC258" s="50">
        <f t="shared" si="75"/>
        <v>133.334</v>
      </c>
      <c r="AD258" s="50">
        <f t="shared" si="76"/>
        <v>33.332999999999998</v>
      </c>
      <c r="AE258" s="50">
        <f t="shared" si="77"/>
        <v>100.001</v>
      </c>
      <c r="AF258" s="50">
        <f t="shared" si="78"/>
        <v>33.332999999999998</v>
      </c>
      <c r="AG258" s="51" t="str">
        <f t="shared" si="79"/>
        <v>13 INTANGIBLE ASSETS</v>
      </c>
      <c r="AH258" s="41"/>
      <c r="AI258" s="51">
        <v>8200</v>
      </c>
      <c r="AJ258" s="51" t="s">
        <v>790</v>
      </c>
    </row>
    <row r="259" spans="1:36" ht="15.95" customHeight="1">
      <c r="A259" s="41" t="s">
        <v>793</v>
      </c>
      <c r="B259" s="42" t="s">
        <v>514</v>
      </c>
      <c r="C259" s="43" t="s">
        <v>794</v>
      </c>
      <c r="D259" s="61" t="s">
        <v>794</v>
      </c>
      <c r="E259" s="42" t="s">
        <v>71</v>
      </c>
      <c r="F259" s="42"/>
      <c r="G259" s="42" t="s">
        <v>789</v>
      </c>
      <c r="H259" s="41">
        <v>2026</v>
      </c>
      <c r="I259" s="45" t="s">
        <v>73</v>
      </c>
      <c r="J259" s="45"/>
      <c r="K259" s="54">
        <v>1</v>
      </c>
      <c r="L259" s="54">
        <v>1500</v>
      </c>
      <c r="M259" s="48">
        <f>+IF(E259="",0,VLOOKUP(E259,[1]Code!J:K,2,0))</f>
        <v>6</v>
      </c>
      <c r="N259" s="49">
        <f t="shared" si="60"/>
        <v>0.16666666666666666</v>
      </c>
      <c r="O259" s="50">
        <f t="shared" si="61"/>
        <v>0</v>
      </c>
      <c r="P259" s="50">
        <f t="shared" si="62"/>
        <v>0</v>
      </c>
      <c r="Q259" s="50">
        <f t="shared" si="63"/>
        <v>0</v>
      </c>
      <c r="R259" s="50">
        <f t="shared" si="64"/>
        <v>0</v>
      </c>
      <c r="S259" s="50">
        <f t="shared" si="65"/>
        <v>0</v>
      </c>
      <c r="T259" s="50">
        <f t="shared" si="66"/>
        <v>0</v>
      </c>
      <c r="U259" s="50">
        <f t="shared" si="67"/>
        <v>0</v>
      </c>
      <c r="V259" s="50">
        <f t="shared" si="68"/>
        <v>0</v>
      </c>
      <c r="W259" s="50">
        <f t="shared" si="69"/>
        <v>0</v>
      </c>
      <c r="X259" s="50">
        <f t="shared" si="70"/>
        <v>0</v>
      </c>
      <c r="Y259" s="50">
        <f t="shared" si="71"/>
        <v>1500</v>
      </c>
      <c r="Z259" s="50">
        <f t="shared" si="72"/>
        <v>250</v>
      </c>
      <c r="AA259" s="50">
        <f t="shared" si="73"/>
        <v>1250</v>
      </c>
      <c r="AB259" s="50">
        <f t="shared" si="74"/>
        <v>250</v>
      </c>
      <c r="AC259" s="50">
        <f t="shared" si="75"/>
        <v>1000</v>
      </c>
      <c r="AD259" s="50">
        <f t="shared" si="76"/>
        <v>250</v>
      </c>
      <c r="AE259" s="50">
        <f t="shared" si="77"/>
        <v>750</v>
      </c>
      <c r="AF259" s="50">
        <f t="shared" si="78"/>
        <v>250</v>
      </c>
      <c r="AG259" s="51" t="str">
        <f t="shared" si="79"/>
        <v>13 INTANGIBLE ASSETS</v>
      </c>
      <c r="AH259" s="41"/>
      <c r="AI259" s="51">
        <v>8200</v>
      </c>
      <c r="AJ259" s="51" t="s">
        <v>790</v>
      </c>
    </row>
    <row r="260" spans="1:36" ht="15.95" customHeight="1">
      <c r="A260" s="41" t="s">
        <v>795</v>
      </c>
      <c r="B260" s="42" t="s">
        <v>514</v>
      </c>
      <c r="C260" s="55" t="s">
        <v>796</v>
      </c>
      <c r="D260" s="61" t="s">
        <v>796</v>
      </c>
      <c r="E260" s="42" t="s">
        <v>71</v>
      </c>
      <c r="F260" s="42"/>
      <c r="G260" s="42" t="s">
        <v>789</v>
      </c>
      <c r="H260" s="41">
        <v>2026</v>
      </c>
      <c r="I260" s="45" t="s">
        <v>73</v>
      </c>
      <c r="J260" s="45"/>
      <c r="K260" s="54">
        <v>1</v>
      </c>
      <c r="L260" s="54">
        <v>200</v>
      </c>
      <c r="M260" s="48">
        <f>+IF(E260="",0,VLOOKUP(E260,[1]Code!J:K,2,0))</f>
        <v>6</v>
      </c>
      <c r="N260" s="49">
        <f t="shared" si="60"/>
        <v>0.16666666666666666</v>
      </c>
      <c r="O260" s="50">
        <f t="shared" si="61"/>
        <v>0</v>
      </c>
      <c r="P260" s="50">
        <f t="shared" si="62"/>
        <v>0</v>
      </c>
      <c r="Q260" s="50">
        <f t="shared" si="63"/>
        <v>0</v>
      </c>
      <c r="R260" s="50">
        <f t="shared" si="64"/>
        <v>0</v>
      </c>
      <c r="S260" s="50">
        <f t="shared" si="65"/>
        <v>0</v>
      </c>
      <c r="T260" s="50">
        <f t="shared" si="66"/>
        <v>0</v>
      </c>
      <c r="U260" s="50">
        <f t="shared" si="67"/>
        <v>0</v>
      </c>
      <c r="V260" s="50">
        <f t="shared" si="68"/>
        <v>0</v>
      </c>
      <c r="W260" s="50">
        <f t="shared" si="69"/>
        <v>0</v>
      </c>
      <c r="X260" s="50">
        <f t="shared" si="70"/>
        <v>0</v>
      </c>
      <c r="Y260" s="50">
        <f t="shared" si="71"/>
        <v>200</v>
      </c>
      <c r="Z260" s="50">
        <f t="shared" si="72"/>
        <v>33.332999999999998</v>
      </c>
      <c r="AA260" s="50">
        <f t="shared" si="73"/>
        <v>166.667</v>
      </c>
      <c r="AB260" s="50">
        <f t="shared" si="74"/>
        <v>33.332999999999998</v>
      </c>
      <c r="AC260" s="50">
        <f t="shared" si="75"/>
        <v>133.334</v>
      </c>
      <c r="AD260" s="50">
        <f t="shared" si="76"/>
        <v>33.332999999999998</v>
      </c>
      <c r="AE260" s="50">
        <f t="shared" si="77"/>
        <v>100.001</v>
      </c>
      <c r="AF260" s="50">
        <f t="shared" si="78"/>
        <v>33.332999999999998</v>
      </c>
      <c r="AG260" s="51" t="str">
        <f t="shared" si="79"/>
        <v>13 INTANGIBLE ASSETS</v>
      </c>
      <c r="AH260" s="41"/>
      <c r="AI260" s="51">
        <v>8200</v>
      </c>
      <c r="AJ260" s="51" t="s">
        <v>790</v>
      </c>
    </row>
    <row r="261" spans="1:36" ht="15.95" customHeight="1">
      <c r="A261" s="41" t="s">
        <v>797</v>
      </c>
      <c r="B261" s="42" t="s">
        <v>95</v>
      </c>
      <c r="C261" s="55" t="s">
        <v>798</v>
      </c>
      <c r="D261" s="61" t="s">
        <v>799</v>
      </c>
      <c r="E261" s="42" t="s">
        <v>71</v>
      </c>
      <c r="F261" s="42"/>
      <c r="G261" s="42" t="s">
        <v>789</v>
      </c>
      <c r="H261" s="41">
        <v>2026</v>
      </c>
      <c r="I261" s="45" t="s">
        <v>73</v>
      </c>
      <c r="J261" s="45"/>
      <c r="K261" s="54">
        <v>1</v>
      </c>
      <c r="L261" s="54">
        <v>36076</v>
      </c>
      <c r="M261" s="48">
        <f>+IF(E261="",0,VLOOKUP(E261,[1]Code!J:K,2,0))</f>
        <v>6</v>
      </c>
      <c r="N261" s="49">
        <f t="shared" si="60"/>
        <v>0.16666666666666666</v>
      </c>
      <c r="O261" s="50">
        <f t="shared" si="61"/>
        <v>0</v>
      </c>
      <c r="P261" s="50">
        <f t="shared" si="62"/>
        <v>0</v>
      </c>
      <c r="Q261" s="50">
        <f t="shared" si="63"/>
        <v>0</v>
      </c>
      <c r="R261" s="50">
        <f t="shared" si="64"/>
        <v>0</v>
      </c>
      <c r="S261" s="50">
        <f t="shared" si="65"/>
        <v>0</v>
      </c>
      <c r="T261" s="50">
        <f t="shared" si="66"/>
        <v>0</v>
      </c>
      <c r="U261" s="50">
        <f t="shared" si="67"/>
        <v>0</v>
      </c>
      <c r="V261" s="50">
        <f t="shared" si="68"/>
        <v>0</v>
      </c>
      <c r="W261" s="50">
        <f t="shared" si="69"/>
        <v>0</v>
      </c>
      <c r="X261" s="50">
        <f t="shared" si="70"/>
        <v>0</v>
      </c>
      <c r="Y261" s="50">
        <f t="shared" si="71"/>
        <v>36076</v>
      </c>
      <c r="Z261" s="50">
        <f t="shared" si="72"/>
        <v>6012.6670000000004</v>
      </c>
      <c r="AA261" s="50">
        <f t="shared" si="73"/>
        <v>30063.332999999999</v>
      </c>
      <c r="AB261" s="50">
        <f t="shared" si="74"/>
        <v>6012.6670000000004</v>
      </c>
      <c r="AC261" s="50">
        <f t="shared" si="75"/>
        <v>24050.665999999997</v>
      </c>
      <c r="AD261" s="50">
        <f t="shared" si="76"/>
        <v>6012.6670000000004</v>
      </c>
      <c r="AE261" s="50">
        <f t="shared" si="77"/>
        <v>18037.998999999996</v>
      </c>
      <c r="AF261" s="50">
        <f t="shared" si="78"/>
        <v>6012.6670000000004</v>
      </c>
      <c r="AG261" s="51" t="str">
        <f t="shared" si="79"/>
        <v>13 INTANGIBLE ASSETS</v>
      </c>
      <c r="AH261" s="41"/>
      <c r="AI261" s="51">
        <v>8200</v>
      </c>
      <c r="AJ261" s="51" t="s">
        <v>790</v>
      </c>
    </row>
    <row r="262" spans="1:36" ht="15.95" customHeight="1">
      <c r="A262" s="41" t="s">
        <v>800</v>
      </c>
      <c r="B262" s="42" t="s">
        <v>514</v>
      </c>
      <c r="C262" s="55" t="s">
        <v>801</v>
      </c>
      <c r="D262" s="60" t="s">
        <v>801</v>
      </c>
      <c r="E262" s="42" t="s">
        <v>71</v>
      </c>
      <c r="F262" s="42"/>
      <c r="G262" s="42" t="s">
        <v>789</v>
      </c>
      <c r="H262" s="41">
        <v>2026</v>
      </c>
      <c r="I262" s="45" t="s">
        <v>73</v>
      </c>
      <c r="J262" s="45"/>
      <c r="K262" s="54">
        <v>1</v>
      </c>
      <c r="L262" s="54">
        <v>5000</v>
      </c>
      <c r="M262" s="48">
        <f>+IF(E262="",0,VLOOKUP(E262,[1]Code!J:K,2,0))</f>
        <v>6</v>
      </c>
      <c r="N262" s="49">
        <f t="shared" si="60"/>
        <v>0.16666666666666666</v>
      </c>
      <c r="O262" s="50">
        <f t="shared" si="61"/>
        <v>0</v>
      </c>
      <c r="P262" s="50">
        <f t="shared" si="62"/>
        <v>0</v>
      </c>
      <c r="Q262" s="50">
        <f t="shared" si="63"/>
        <v>0</v>
      </c>
      <c r="R262" s="50">
        <f t="shared" si="64"/>
        <v>0</v>
      </c>
      <c r="S262" s="50">
        <f t="shared" si="65"/>
        <v>0</v>
      </c>
      <c r="T262" s="50">
        <f t="shared" si="66"/>
        <v>0</v>
      </c>
      <c r="U262" s="50">
        <f t="shared" si="67"/>
        <v>0</v>
      </c>
      <c r="V262" s="50">
        <f t="shared" si="68"/>
        <v>0</v>
      </c>
      <c r="W262" s="50">
        <f t="shared" si="69"/>
        <v>0</v>
      </c>
      <c r="X262" s="50">
        <f t="shared" si="70"/>
        <v>0</v>
      </c>
      <c r="Y262" s="50">
        <f t="shared" si="71"/>
        <v>5000</v>
      </c>
      <c r="Z262" s="50">
        <f t="shared" si="72"/>
        <v>833.33299999999997</v>
      </c>
      <c r="AA262" s="50">
        <f t="shared" si="73"/>
        <v>4166.6670000000004</v>
      </c>
      <c r="AB262" s="50">
        <f t="shared" si="74"/>
        <v>833.33299999999997</v>
      </c>
      <c r="AC262" s="50">
        <f t="shared" si="75"/>
        <v>3333.3340000000003</v>
      </c>
      <c r="AD262" s="50">
        <f t="shared" si="76"/>
        <v>833.33299999999997</v>
      </c>
      <c r="AE262" s="50">
        <f t="shared" si="77"/>
        <v>2500.0010000000002</v>
      </c>
      <c r="AF262" s="50">
        <f t="shared" si="78"/>
        <v>833.33299999999997</v>
      </c>
      <c r="AG262" s="51" t="str">
        <f t="shared" si="79"/>
        <v>13 INTANGIBLE ASSETS</v>
      </c>
      <c r="AH262" s="41"/>
      <c r="AI262" s="51">
        <v>8200</v>
      </c>
      <c r="AJ262" s="51" t="s">
        <v>790</v>
      </c>
    </row>
    <row r="263" spans="1:36" ht="15.95" customHeight="1">
      <c r="A263" s="41" t="s">
        <v>802</v>
      </c>
      <c r="B263" s="42" t="s">
        <v>95</v>
      </c>
      <c r="C263" s="43" t="s">
        <v>803</v>
      </c>
      <c r="D263" s="79" t="s">
        <v>804</v>
      </c>
      <c r="E263" s="42" t="s">
        <v>71</v>
      </c>
      <c r="F263" s="42" t="s">
        <v>72</v>
      </c>
      <c r="G263" s="42" t="s">
        <v>805</v>
      </c>
      <c r="H263" s="41">
        <v>2026</v>
      </c>
      <c r="I263" s="45" t="s">
        <v>737</v>
      </c>
      <c r="J263" s="45"/>
      <c r="K263" s="54">
        <v>1</v>
      </c>
      <c r="L263" s="54">
        <v>2000</v>
      </c>
      <c r="M263" s="48">
        <f>+IF(E263="",0,VLOOKUP(E263,[1]Code!J:K,2,0))</f>
        <v>6</v>
      </c>
      <c r="N263" s="49">
        <f t="shared" si="60"/>
        <v>0.16666666666666666</v>
      </c>
      <c r="O263" s="50">
        <f t="shared" si="61"/>
        <v>0</v>
      </c>
      <c r="P263" s="50">
        <f t="shared" si="62"/>
        <v>0</v>
      </c>
      <c r="Q263" s="50">
        <f t="shared" si="63"/>
        <v>0</v>
      </c>
      <c r="R263" s="50">
        <f t="shared" si="64"/>
        <v>0</v>
      </c>
      <c r="S263" s="50">
        <f t="shared" si="65"/>
        <v>0</v>
      </c>
      <c r="T263" s="50">
        <f t="shared" si="66"/>
        <v>0</v>
      </c>
      <c r="U263" s="50">
        <f t="shared" si="67"/>
        <v>0</v>
      </c>
      <c r="V263" s="50">
        <f t="shared" si="68"/>
        <v>0</v>
      </c>
      <c r="W263" s="50">
        <f t="shared" si="69"/>
        <v>0</v>
      </c>
      <c r="X263" s="50">
        <f t="shared" si="70"/>
        <v>0</v>
      </c>
      <c r="Y263" s="50">
        <f t="shared" si="71"/>
        <v>2000</v>
      </c>
      <c r="Z263" s="50">
        <f t="shared" si="72"/>
        <v>333.33300000000003</v>
      </c>
      <c r="AA263" s="50">
        <f t="shared" si="73"/>
        <v>1666.6669999999999</v>
      </c>
      <c r="AB263" s="50">
        <f t="shared" si="74"/>
        <v>333.33300000000003</v>
      </c>
      <c r="AC263" s="50">
        <f t="shared" si="75"/>
        <v>1333.3339999999998</v>
      </c>
      <c r="AD263" s="50">
        <f t="shared" si="76"/>
        <v>333.33300000000003</v>
      </c>
      <c r="AE263" s="50">
        <f t="shared" si="77"/>
        <v>1000.0009999999997</v>
      </c>
      <c r="AF263" s="50">
        <f t="shared" si="78"/>
        <v>333.33300000000003</v>
      </c>
      <c r="AG263" s="51" t="str">
        <f t="shared" si="79"/>
        <v xml:space="preserve">13 INTANGIBLE ASSETSALL </v>
      </c>
      <c r="AH263" s="41"/>
      <c r="AI263" s="51">
        <v>8400</v>
      </c>
      <c r="AJ263" s="51" t="s">
        <v>806</v>
      </c>
    </row>
    <row r="264" spans="1:36" ht="19.5" customHeight="1">
      <c r="A264" s="41" t="s">
        <v>807</v>
      </c>
      <c r="B264" s="42" t="s">
        <v>293</v>
      </c>
      <c r="C264" s="136" t="s">
        <v>808</v>
      </c>
      <c r="D264" s="137" t="s">
        <v>809</v>
      </c>
      <c r="E264" s="42" t="s">
        <v>119</v>
      </c>
      <c r="F264" s="42" t="s">
        <v>72</v>
      </c>
      <c r="G264" s="42" t="s">
        <v>810</v>
      </c>
      <c r="H264" s="41">
        <v>2026</v>
      </c>
      <c r="I264" s="45" t="s">
        <v>549</v>
      </c>
      <c r="J264" s="45"/>
      <c r="K264" s="54">
        <v>2</v>
      </c>
      <c r="L264" s="54">
        <v>5000</v>
      </c>
      <c r="M264" s="48">
        <f>+IF(E264="",0,VLOOKUP(E264,[1]Code!J:K,2,0))</f>
        <v>8</v>
      </c>
      <c r="N264" s="49">
        <f t="shared" si="60"/>
        <v>0.125</v>
      </c>
      <c r="O264" s="50">
        <f t="shared" si="61"/>
        <v>0</v>
      </c>
      <c r="P264" s="50">
        <f t="shared" si="62"/>
        <v>0</v>
      </c>
      <c r="Q264" s="50">
        <f t="shared" si="63"/>
        <v>0</v>
      </c>
      <c r="R264" s="50">
        <f t="shared" si="64"/>
        <v>0</v>
      </c>
      <c r="S264" s="50">
        <f t="shared" si="65"/>
        <v>0</v>
      </c>
      <c r="T264" s="50">
        <f t="shared" si="66"/>
        <v>0</v>
      </c>
      <c r="U264" s="50">
        <f t="shared" si="67"/>
        <v>0</v>
      </c>
      <c r="V264" s="50">
        <f t="shared" si="68"/>
        <v>0</v>
      </c>
      <c r="W264" s="50">
        <f t="shared" si="69"/>
        <v>0</v>
      </c>
      <c r="X264" s="50">
        <f t="shared" si="70"/>
        <v>0</v>
      </c>
      <c r="Y264" s="50">
        <f t="shared" si="71"/>
        <v>5000</v>
      </c>
      <c r="Z264" s="50">
        <f t="shared" si="72"/>
        <v>625</v>
      </c>
      <c r="AA264" s="50">
        <f t="shared" si="73"/>
        <v>4375</v>
      </c>
      <c r="AB264" s="50">
        <f t="shared" si="74"/>
        <v>625</v>
      </c>
      <c r="AC264" s="50">
        <f t="shared" si="75"/>
        <v>3750</v>
      </c>
      <c r="AD264" s="50">
        <f t="shared" si="76"/>
        <v>625</v>
      </c>
      <c r="AE264" s="50">
        <f t="shared" si="77"/>
        <v>3125</v>
      </c>
      <c r="AF264" s="50">
        <f t="shared" si="78"/>
        <v>625</v>
      </c>
      <c r="AG264" s="51" t="str">
        <f t="shared" si="79"/>
        <v xml:space="preserve">5 MACHINERY,UTILITIESALL </v>
      </c>
      <c r="AH264" s="41"/>
      <c r="AI264" s="1">
        <v>8150</v>
      </c>
      <c r="AJ264" s="1" t="s">
        <v>811</v>
      </c>
    </row>
    <row r="265" spans="1:36" ht="21.75" customHeight="1">
      <c r="A265" s="41" t="s">
        <v>812</v>
      </c>
      <c r="B265" s="42" t="s">
        <v>293</v>
      </c>
      <c r="C265" s="136" t="s">
        <v>813</v>
      </c>
      <c r="D265" s="137" t="s">
        <v>809</v>
      </c>
      <c r="E265" s="42" t="s">
        <v>119</v>
      </c>
      <c r="F265" s="42" t="s">
        <v>72</v>
      </c>
      <c r="G265" s="42" t="s">
        <v>810</v>
      </c>
      <c r="H265" s="41">
        <v>2026</v>
      </c>
      <c r="I265" s="45" t="s">
        <v>549</v>
      </c>
      <c r="J265" s="45"/>
      <c r="K265" s="54">
        <v>3</v>
      </c>
      <c r="L265" s="54">
        <v>750</v>
      </c>
      <c r="M265" s="48">
        <f>+IF(E265="",0,VLOOKUP(E265,[1]Code!J:K,2,0))</f>
        <v>8</v>
      </c>
      <c r="N265" s="49">
        <f t="shared" ref="N265:N314" si="80">IF(ISERROR(1/M265),0,1/M265)</f>
        <v>0.125</v>
      </c>
      <c r="O265" s="50">
        <f t="shared" ref="O265:O314" si="81">+IF(P$4&lt;1,0,IF(P$4=1,$L265,0))</f>
        <v>0</v>
      </c>
      <c r="P265" s="50">
        <f t="shared" ref="P265:P314" si="82">+IF(P$4&lt;1,0,IF($M265&lt;P$4,0,ROUND($L265*$N265,3)))</f>
        <v>0</v>
      </c>
      <c r="Q265" s="50">
        <f t="shared" ref="Q265:Q314" si="83">+IF(R$4&lt;1,0,IF(R$4=1,$L265,O265-P265))</f>
        <v>0</v>
      </c>
      <c r="R265" s="50">
        <f t="shared" ref="R265:R314" si="84">+IF(R$4&lt;1,0,IF($M265&lt;R$4,0,ROUND($L265*$N265,3)))</f>
        <v>0</v>
      </c>
      <c r="S265" s="50">
        <f t="shared" ref="S265:S314" si="85">+IF(T$4&lt;1,0,IF(T$4=1,$L265,Q265-R265))</f>
        <v>0</v>
      </c>
      <c r="T265" s="50">
        <f t="shared" ref="T265:T314" si="86">+IF(T$4&lt;1,0,IF($M265&lt;T$4,0,ROUND($L265*$N265,3)))</f>
        <v>0</v>
      </c>
      <c r="U265" s="50">
        <f t="shared" ref="U265:U314" si="87">+IF(V$4&lt;1,0,IF(V$4=1,$L265,S265-T265))</f>
        <v>0</v>
      </c>
      <c r="V265" s="50">
        <f t="shared" ref="V265:V314" si="88">+IF(V$4&lt;1,0,IF($M265&lt;V$4,0,ROUND($L265*$N265,3)))</f>
        <v>0</v>
      </c>
      <c r="W265" s="50">
        <f t="shared" ref="W265:W314" si="89">+IF(X$4&lt;1,0,IF(X$4=1,$L265,U265-V265))</f>
        <v>0</v>
      </c>
      <c r="X265" s="50">
        <f t="shared" ref="X265:X314" si="90">+IF(X$4&lt;1,0,IF($M265&lt;X$4,0,ROUND($L265*$N265,3)))</f>
        <v>0</v>
      </c>
      <c r="Y265" s="50">
        <f t="shared" ref="Y265:Y314" si="91">+IF(Z$4&lt;1,0,IF(Z$4=1,$L265,W265-X265))</f>
        <v>750</v>
      </c>
      <c r="Z265" s="50">
        <f t="shared" ref="Z265:Z314" si="92">+IF(Z$4&lt;1,0,IF($M265&lt;Z$4,0,ROUND($L265*$N265,3)))</f>
        <v>93.75</v>
      </c>
      <c r="AA265" s="50">
        <f t="shared" ref="AA265:AA314" si="93">+IF(AB$4&lt;1,0,IF(AB$4=1,$L265,Y265-Z265))</f>
        <v>656.25</v>
      </c>
      <c r="AB265" s="50">
        <f t="shared" ref="AB265:AB314" si="94">+IF(AB$4&lt;1,0,IF($M265&lt;AB$4,0,ROUND($L265*$N265,3)))</f>
        <v>93.75</v>
      </c>
      <c r="AC265" s="50">
        <f t="shared" ref="AC265:AC314" si="95">+IF(AD$4&lt;1,0,IF(AD$4=1,$L265,AA265-AB265))</f>
        <v>562.5</v>
      </c>
      <c r="AD265" s="50">
        <f t="shared" ref="AD265:AD314" si="96">+IF(AD$4&lt;1,0,IF($M265&lt;AD$4,0,ROUND($L265*$N265,3)))</f>
        <v>93.75</v>
      </c>
      <c r="AE265" s="50">
        <f t="shared" ref="AE265:AE314" si="97">+IF(AF$4&lt;1,0,IF(AF$4=1,$L265,AC265-AD265))</f>
        <v>468.75</v>
      </c>
      <c r="AF265" s="50">
        <f t="shared" ref="AF265:AF314" si="98">+IF(AF$4&lt;1,0,IF($M265&lt;AF$4,0,ROUND($L265*$N265,3)))</f>
        <v>93.75</v>
      </c>
      <c r="AG265" s="51" t="str">
        <f t="shared" ref="AG265:AG314" si="99">E265&amp;F265</f>
        <v xml:space="preserve">5 MACHINERY,UTILITIESALL </v>
      </c>
      <c r="AH265" s="41"/>
      <c r="AI265" s="1">
        <v>8150</v>
      </c>
      <c r="AJ265" s="1" t="s">
        <v>811</v>
      </c>
    </row>
    <row r="266" spans="1:36" ht="15.95" customHeight="1">
      <c r="A266" s="41" t="s">
        <v>814</v>
      </c>
      <c r="B266" s="42" t="s">
        <v>293</v>
      </c>
      <c r="C266" s="55" t="s">
        <v>815</v>
      </c>
      <c r="D266" s="137" t="s">
        <v>809</v>
      </c>
      <c r="E266" s="42" t="s">
        <v>119</v>
      </c>
      <c r="F266" s="42" t="s">
        <v>72</v>
      </c>
      <c r="G266" s="42" t="s">
        <v>810</v>
      </c>
      <c r="H266" s="41">
        <v>2026</v>
      </c>
      <c r="I266" s="45" t="s">
        <v>549</v>
      </c>
      <c r="J266" s="45"/>
      <c r="K266" s="54">
        <v>6</v>
      </c>
      <c r="L266" s="54">
        <v>120</v>
      </c>
      <c r="M266" s="48">
        <f>+IF(E266="",0,VLOOKUP(E266,[1]Code!J:K,2,0))</f>
        <v>8</v>
      </c>
      <c r="N266" s="49">
        <f t="shared" si="80"/>
        <v>0.125</v>
      </c>
      <c r="O266" s="50">
        <f t="shared" si="81"/>
        <v>0</v>
      </c>
      <c r="P266" s="50">
        <f t="shared" si="82"/>
        <v>0</v>
      </c>
      <c r="Q266" s="50">
        <f t="shared" si="83"/>
        <v>0</v>
      </c>
      <c r="R266" s="50">
        <f t="shared" si="84"/>
        <v>0</v>
      </c>
      <c r="S266" s="50">
        <f t="shared" si="85"/>
        <v>0</v>
      </c>
      <c r="T266" s="50">
        <f t="shared" si="86"/>
        <v>0</v>
      </c>
      <c r="U266" s="50">
        <f t="shared" si="87"/>
        <v>0</v>
      </c>
      <c r="V266" s="50">
        <f t="shared" si="88"/>
        <v>0</v>
      </c>
      <c r="W266" s="50">
        <f t="shared" si="89"/>
        <v>0</v>
      </c>
      <c r="X266" s="50">
        <f t="shared" si="90"/>
        <v>0</v>
      </c>
      <c r="Y266" s="50">
        <f t="shared" si="91"/>
        <v>120</v>
      </c>
      <c r="Z266" s="50">
        <f t="shared" si="92"/>
        <v>15</v>
      </c>
      <c r="AA266" s="50">
        <f t="shared" si="93"/>
        <v>105</v>
      </c>
      <c r="AB266" s="50">
        <f t="shared" si="94"/>
        <v>15</v>
      </c>
      <c r="AC266" s="50">
        <f t="shared" si="95"/>
        <v>90</v>
      </c>
      <c r="AD266" s="50">
        <f t="shared" si="96"/>
        <v>15</v>
      </c>
      <c r="AE266" s="50">
        <f t="shared" si="97"/>
        <v>75</v>
      </c>
      <c r="AF266" s="50">
        <f t="shared" si="98"/>
        <v>15</v>
      </c>
      <c r="AG266" s="51" t="str">
        <f t="shared" si="99"/>
        <v xml:space="preserve">5 MACHINERY,UTILITIESALL </v>
      </c>
      <c r="AH266" s="41"/>
      <c r="AI266" s="1">
        <v>8150</v>
      </c>
      <c r="AJ266" s="1" t="s">
        <v>811</v>
      </c>
    </row>
    <row r="267" spans="1:36" ht="21" customHeight="1">
      <c r="A267" s="41" t="s">
        <v>816</v>
      </c>
      <c r="B267" s="42" t="s">
        <v>293</v>
      </c>
      <c r="C267" s="136" t="s">
        <v>817</v>
      </c>
      <c r="D267" s="137" t="s">
        <v>809</v>
      </c>
      <c r="E267" s="42" t="s">
        <v>119</v>
      </c>
      <c r="F267" s="42" t="s">
        <v>72</v>
      </c>
      <c r="G267" s="42" t="s">
        <v>810</v>
      </c>
      <c r="H267" s="41">
        <v>2026</v>
      </c>
      <c r="I267" s="45" t="s">
        <v>549</v>
      </c>
      <c r="J267" s="45"/>
      <c r="K267" s="54">
        <v>1</v>
      </c>
      <c r="L267" s="54">
        <v>3000</v>
      </c>
      <c r="M267" s="48">
        <f>+IF(E267="",0,VLOOKUP(E267,[1]Code!J:K,2,0))</f>
        <v>8</v>
      </c>
      <c r="N267" s="49">
        <f t="shared" si="80"/>
        <v>0.125</v>
      </c>
      <c r="O267" s="50">
        <f t="shared" si="81"/>
        <v>0</v>
      </c>
      <c r="P267" s="50">
        <f t="shared" si="82"/>
        <v>0</v>
      </c>
      <c r="Q267" s="50">
        <f t="shared" si="83"/>
        <v>0</v>
      </c>
      <c r="R267" s="50">
        <f t="shared" si="84"/>
        <v>0</v>
      </c>
      <c r="S267" s="50">
        <f t="shared" si="85"/>
        <v>0</v>
      </c>
      <c r="T267" s="50">
        <f t="shared" si="86"/>
        <v>0</v>
      </c>
      <c r="U267" s="50">
        <f t="shared" si="87"/>
        <v>0</v>
      </c>
      <c r="V267" s="50">
        <f t="shared" si="88"/>
        <v>0</v>
      </c>
      <c r="W267" s="50">
        <f t="shared" si="89"/>
        <v>0</v>
      </c>
      <c r="X267" s="50">
        <f t="shared" si="90"/>
        <v>0</v>
      </c>
      <c r="Y267" s="50">
        <f t="shared" si="91"/>
        <v>3000</v>
      </c>
      <c r="Z267" s="50">
        <f t="shared" si="92"/>
        <v>375</v>
      </c>
      <c r="AA267" s="50">
        <f t="shared" si="93"/>
        <v>2625</v>
      </c>
      <c r="AB267" s="50">
        <f t="shared" si="94"/>
        <v>375</v>
      </c>
      <c r="AC267" s="50">
        <f t="shared" si="95"/>
        <v>2250</v>
      </c>
      <c r="AD267" s="50">
        <f t="shared" si="96"/>
        <v>375</v>
      </c>
      <c r="AE267" s="50">
        <f t="shared" si="97"/>
        <v>1875</v>
      </c>
      <c r="AF267" s="50">
        <f t="shared" si="98"/>
        <v>375</v>
      </c>
      <c r="AG267" s="51" t="str">
        <f t="shared" si="99"/>
        <v xml:space="preserve">5 MACHINERY,UTILITIESALL </v>
      </c>
      <c r="AH267" s="41"/>
      <c r="AI267" s="1">
        <v>8150</v>
      </c>
      <c r="AJ267" s="1" t="s">
        <v>811</v>
      </c>
    </row>
    <row r="268" spans="1:36" ht="15.95" customHeight="1">
      <c r="A268" s="41" t="s">
        <v>818</v>
      </c>
      <c r="B268" s="42" t="s">
        <v>293</v>
      </c>
      <c r="C268" s="136" t="s">
        <v>819</v>
      </c>
      <c r="D268" s="137" t="s">
        <v>809</v>
      </c>
      <c r="E268" s="42" t="s">
        <v>119</v>
      </c>
      <c r="F268" s="42" t="s">
        <v>72</v>
      </c>
      <c r="G268" s="42" t="s">
        <v>810</v>
      </c>
      <c r="H268" s="41">
        <v>2026</v>
      </c>
      <c r="I268" s="45" t="s">
        <v>549</v>
      </c>
      <c r="J268" s="45"/>
      <c r="K268" s="54">
        <v>4</v>
      </c>
      <c r="L268" s="54">
        <v>140</v>
      </c>
      <c r="M268" s="48">
        <f>+IF(E268="",0,VLOOKUP(E268,[1]Code!J:K,2,0))</f>
        <v>8</v>
      </c>
      <c r="N268" s="49">
        <f t="shared" si="80"/>
        <v>0.125</v>
      </c>
      <c r="O268" s="50">
        <f t="shared" si="81"/>
        <v>0</v>
      </c>
      <c r="P268" s="50">
        <f t="shared" si="82"/>
        <v>0</v>
      </c>
      <c r="Q268" s="50">
        <f t="shared" si="83"/>
        <v>0</v>
      </c>
      <c r="R268" s="50">
        <f t="shared" si="84"/>
        <v>0</v>
      </c>
      <c r="S268" s="50">
        <f t="shared" si="85"/>
        <v>0</v>
      </c>
      <c r="T268" s="50">
        <f t="shared" si="86"/>
        <v>0</v>
      </c>
      <c r="U268" s="50">
        <f t="shared" si="87"/>
        <v>0</v>
      </c>
      <c r="V268" s="50">
        <f t="shared" si="88"/>
        <v>0</v>
      </c>
      <c r="W268" s="50">
        <f t="shared" si="89"/>
        <v>0</v>
      </c>
      <c r="X268" s="50">
        <f t="shared" si="90"/>
        <v>0</v>
      </c>
      <c r="Y268" s="50">
        <f t="shared" si="91"/>
        <v>140</v>
      </c>
      <c r="Z268" s="50">
        <f t="shared" si="92"/>
        <v>17.5</v>
      </c>
      <c r="AA268" s="50">
        <f t="shared" si="93"/>
        <v>122.5</v>
      </c>
      <c r="AB268" s="50">
        <f t="shared" si="94"/>
        <v>17.5</v>
      </c>
      <c r="AC268" s="50">
        <f t="shared" si="95"/>
        <v>105</v>
      </c>
      <c r="AD268" s="50">
        <f t="shared" si="96"/>
        <v>17.5</v>
      </c>
      <c r="AE268" s="50">
        <f t="shared" si="97"/>
        <v>87.5</v>
      </c>
      <c r="AF268" s="50">
        <f t="shared" si="98"/>
        <v>17.5</v>
      </c>
      <c r="AG268" s="51" t="str">
        <f t="shared" si="99"/>
        <v xml:space="preserve">5 MACHINERY,UTILITIESALL </v>
      </c>
      <c r="AH268" s="41"/>
      <c r="AI268" s="1">
        <v>8150</v>
      </c>
      <c r="AJ268" s="1" t="s">
        <v>811</v>
      </c>
    </row>
    <row r="269" spans="1:36" ht="15.95" customHeight="1">
      <c r="A269" s="41" t="s">
        <v>820</v>
      </c>
      <c r="B269" s="42" t="s">
        <v>293</v>
      </c>
      <c r="C269" s="136" t="s">
        <v>821</v>
      </c>
      <c r="D269" s="138" t="s">
        <v>809</v>
      </c>
      <c r="E269" s="42" t="s">
        <v>119</v>
      </c>
      <c r="F269" s="42" t="s">
        <v>72</v>
      </c>
      <c r="G269" s="42" t="s">
        <v>810</v>
      </c>
      <c r="H269" s="41">
        <v>2026</v>
      </c>
      <c r="I269" s="45" t="s">
        <v>549</v>
      </c>
      <c r="J269" s="45"/>
      <c r="K269" s="54">
        <v>2</v>
      </c>
      <c r="L269" s="54">
        <v>200</v>
      </c>
      <c r="M269" s="48">
        <f>+IF(E269="",0,VLOOKUP(E269,[1]Code!J:K,2,0))</f>
        <v>8</v>
      </c>
      <c r="N269" s="49">
        <f t="shared" si="80"/>
        <v>0.125</v>
      </c>
      <c r="O269" s="50">
        <f t="shared" si="81"/>
        <v>0</v>
      </c>
      <c r="P269" s="50">
        <f t="shared" si="82"/>
        <v>0</v>
      </c>
      <c r="Q269" s="50">
        <f t="shared" si="83"/>
        <v>0</v>
      </c>
      <c r="R269" s="50">
        <f t="shared" si="84"/>
        <v>0</v>
      </c>
      <c r="S269" s="50">
        <f t="shared" si="85"/>
        <v>0</v>
      </c>
      <c r="T269" s="50">
        <f t="shared" si="86"/>
        <v>0</v>
      </c>
      <c r="U269" s="50">
        <f t="shared" si="87"/>
        <v>0</v>
      </c>
      <c r="V269" s="50">
        <f t="shared" si="88"/>
        <v>0</v>
      </c>
      <c r="W269" s="50">
        <f t="shared" si="89"/>
        <v>0</v>
      </c>
      <c r="X269" s="50">
        <f t="shared" si="90"/>
        <v>0</v>
      </c>
      <c r="Y269" s="50">
        <f t="shared" si="91"/>
        <v>200</v>
      </c>
      <c r="Z269" s="50">
        <f t="shared" si="92"/>
        <v>25</v>
      </c>
      <c r="AA269" s="50">
        <f t="shared" si="93"/>
        <v>175</v>
      </c>
      <c r="AB269" s="50">
        <f t="shared" si="94"/>
        <v>25</v>
      </c>
      <c r="AC269" s="50">
        <f t="shared" si="95"/>
        <v>150</v>
      </c>
      <c r="AD269" s="50">
        <f t="shared" si="96"/>
        <v>25</v>
      </c>
      <c r="AE269" s="50">
        <f t="shared" si="97"/>
        <v>125</v>
      </c>
      <c r="AF269" s="50">
        <f t="shared" si="98"/>
        <v>25</v>
      </c>
      <c r="AG269" s="51" t="str">
        <f t="shared" si="99"/>
        <v xml:space="preserve">5 MACHINERY,UTILITIESALL </v>
      </c>
      <c r="AH269" s="41"/>
      <c r="AI269" s="1">
        <v>8150</v>
      </c>
      <c r="AJ269" s="1" t="s">
        <v>811</v>
      </c>
    </row>
    <row r="270" spans="1:36" ht="15.95" customHeight="1">
      <c r="A270" s="41" t="s">
        <v>822</v>
      </c>
      <c r="B270" s="42" t="s">
        <v>293</v>
      </c>
      <c r="C270" s="136" t="s">
        <v>823</v>
      </c>
      <c r="D270" s="138" t="s">
        <v>809</v>
      </c>
      <c r="E270" s="42" t="s">
        <v>119</v>
      </c>
      <c r="F270" s="42" t="s">
        <v>72</v>
      </c>
      <c r="G270" s="42" t="s">
        <v>810</v>
      </c>
      <c r="H270" s="41">
        <v>2026</v>
      </c>
      <c r="I270" s="45" t="s">
        <v>549</v>
      </c>
      <c r="J270" s="45"/>
      <c r="K270" s="54">
        <v>8</v>
      </c>
      <c r="L270" s="54">
        <v>1440</v>
      </c>
      <c r="M270" s="48">
        <f>+IF(E270="",0,VLOOKUP(E270,[1]Code!J:K,2,0))</f>
        <v>8</v>
      </c>
      <c r="N270" s="49">
        <f t="shared" si="80"/>
        <v>0.125</v>
      </c>
      <c r="O270" s="50">
        <f t="shared" si="81"/>
        <v>0</v>
      </c>
      <c r="P270" s="50">
        <f t="shared" si="82"/>
        <v>0</v>
      </c>
      <c r="Q270" s="50">
        <f t="shared" si="83"/>
        <v>0</v>
      </c>
      <c r="R270" s="50">
        <f t="shared" si="84"/>
        <v>0</v>
      </c>
      <c r="S270" s="50">
        <f t="shared" si="85"/>
        <v>0</v>
      </c>
      <c r="T270" s="50">
        <f t="shared" si="86"/>
        <v>0</v>
      </c>
      <c r="U270" s="50">
        <f t="shared" si="87"/>
        <v>0</v>
      </c>
      <c r="V270" s="50">
        <f t="shared" si="88"/>
        <v>0</v>
      </c>
      <c r="W270" s="50">
        <f t="shared" si="89"/>
        <v>0</v>
      </c>
      <c r="X270" s="50">
        <f t="shared" si="90"/>
        <v>0</v>
      </c>
      <c r="Y270" s="50">
        <f t="shared" si="91"/>
        <v>1440</v>
      </c>
      <c r="Z270" s="50">
        <f t="shared" si="92"/>
        <v>180</v>
      </c>
      <c r="AA270" s="50">
        <f t="shared" si="93"/>
        <v>1260</v>
      </c>
      <c r="AB270" s="50">
        <f t="shared" si="94"/>
        <v>180</v>
      </c>
      <c r="AC270" s="50">
        <f t="shared" si="95"/>
        <v>1080</v>
      </c>
      <c r="AD270" s="50">
        <f t="shared" si="96"/>
        <v>180</v>
      </c>
      <c r="AE270" s="50">
        <f t="shared" si="97"/>
        <v>900</v>
      </c>
      <c r="AF270" s="50">
        <f t="shared" si="98"/>
        <v>180</v>
      </c>
      <c r="AG270" s="51" t="str">
        <f t="shared" si="99"/>
        <v xml:space="preserve">5 MACHINERY,UTILITIESALL </v>
      </c>
      <c r="AH270" s="41"/>
      <c r="AI270" s="1">
        <v>8150</v>
      </c>
      <c r="AJ270" s="1" t="s">
        <v>811</v>
      </c>
    </row>
    <row r="271" spans="1:36" ht="15.95" customHeight="1">
      <c r="A271" s="41" t="s">
        <v>824</v>
      </c>
      <c r="B271" s="42" t="s">
        <v>293</v>
      </c>
      <c r="C271" s="55" t="s">
        <v>825</v>
      </c>
      <c r="D271" s="139" t="s">
        <v>809</v>
      </c>
      <c r="E271" s="42" t="s">
        <v>119</v>
      </c>
      <c r="F271" s="42" t="s">
        <v>72</v>
      </c>
      <c r="G271" s="42" t="s">
        <v>810</v>
      </c>
      <c r="H271" s="41">
        <v>2026</v>
      </c>
      <c r="I271" s="45" t="s">
        <v>549</v>
      </c>
      <c r="J271" s="45"/>
      <c r="K271" s="54">
        <v>6</v>
      </c>
      <c r="L271" s="54">
        <v>150</v>
      </c>
      <c r="M271" s="48">
        <f>+IF(E271="",0,VLOOKUP(E271,[1]Code!J:K,2,0))</f>
        <v>8</v>
      </c>
      <c r="N271" s="49">
        <f t="shared" si="80"/>
        <v>0.125</v>
      </c>
      <c r="O271" s="50">
        <f t="shared" si="81"/>
        <v>0</v>
      </c>
      <c r="P271" s="50">
        <f t="shared" si="82"/>
        <v>0</v>
      </c>
      <c r="Q271" s="50">
        <f t="shared" si="83"/>
        <v>0</v>
      </c>
      <c r="R271" s="50">
        <f t="shared" si="84"/>
        <v>0</v>
      </c>
      <c r="S271" s="50">
        <f t="shared" si="85"/>
        <v>0</v>
      </c>
      <c r="T271" s="50">
        <f t="shared" si="86"/>
        <v>0</v>
      </c>
      <c r="U271" s="50">
        <f t="shared" si="87"/>
        <v>0</v>
      </c>
      <c r="V271" s="50">
        <f t="shared" si="88"/>
        <v>0</v>
      </c>
      <c r="W271" s="50">
        <f t="shared" si="89"/>
        <v>0</v>
      </c>
      <c r="X271" s="50">
        <f t="shared" si="90"/>
        <v>0</v>
      </c>
      <c r="Y271" s="50">
        <f t="shared" si="91"/>
        <v>150</v>
      </c>
      <c r="Z271" s="50">
        <f t="shared" si="92"/>
        <v>18.75</v>
      </c>
      <c r="AA271" s="50">
        <f t="shared" si="93"/>
        <v>131.25</v>
      </c>
      <c r="AB271" s="50">
        <f t="shared" si="94"/>
        <v>18.75</v>
      </c>
      <c r="AC271" s="50">
        <f t="shared" si="95"/>
        <v>112.5</v>
      </c>
      <c r="AD271" s="50">
        <f t="shared" si="96"/>
        <v>18.75</v>
      </c>
      <c r="AE271" s="50">
        <f t="shared" si="97"/>
        <v>93.75</v>
      </c>
      <c r="AF271" s="50">
        <f t="shared" si="98"/>
        <v>18.75</v>
      </c>
      <c r="AG271" s="51" t="str">
        <f t="shared" si="99"/>
        <v xml:space="preserve">5 MACHINERY,UTILITIESALL </v>
      </c>
      <c r="AH271" s="41"/>
      <c r="AI271" s="1">
        <v>8150</v>
      </c>
      <c r="AJ271" s="1" t="s">
        <v>811</v>
      </c>
    </row>
    <row r="272" spans="1:36" ht="15.95" customHeight="1">
      <c r="A272" s="41" t="s">
        <v>826</v>
      </c>
      <c r="B272" s="42" t="s">
        <v>293</v>
      </c>
      <c r="C272" s="136" t="s">
        <v>827</v>
      </c>
      <c r="D272" s="138" t="s">
        <v>809</v>
      </c>
      <c r="E272" s="42" t="s">
        <v>119</v>
      </c>
      <c r="F272" s="42" t="s">
        <v>72</v>
      </c>
      <c r="G272" s="42" t="s">
        <v>810</v>
      </c>
      <c r="H272" s="41">
        <v>2026</v>
      </c>
      <c r="I272" s="45" t="s">
        <v>549</v>
      </c>
      <c r="J272" s="45"/>
      <c r="K272" s="54">
        <v>2</v>
      </c>
      <c r="L272" s="54">
        <v>400</v>
      </c>
      <c r="M272" s="48">
        <f>+IF(E272="",0,VLOOKUP(E272,[1]Code!J:K,2,0))</f>
        <v>8</v>
      </c>
      <c r="N272" s="49">
        <f t="shared" si="80"/>
        <v>0.125</v>
      </c>
      <c r="O272" s="50">
        <f t="shared" si="81"/>
        <v>0</v>
      </c>
      <c r="P272" s="50">
        <f t="shared" si="82"/>
        <v>0</v>
      </c>
      <c r="Q272" s="50">
        <f t="shared" si="83"/>
        <v>0</v>
      </c>
      <c r="R272" s="50">
        <f t="shared" si="84"/>
        <v>0</v>
      </c>
      <c r="S272" s="50">
        <f t="shared" si="85"/>
        <v>0</v>
      </c>
      <c r="T272" s="50">
        <f t="shared" si="86"/>
        <v>0</v>
      </c>
      <c r="U272" s="50">
        <f t="shared" si="87"/>
        <v>0</v>
      </c>
      <c r="V272" s="50">
        <f t="shared" si="88"/>
        <v>0</v>
      </c>
      <c r="W272" s="50">
        <f t="shared" si="89"/>
        <v>0</v>
      </c>
      <c r="X272" s="50">
        <f t="shared" si="90"/>
        <v>0</v>
      </c>
      <c r="Y272" s="50">
        <f t="shared" si="91"/>
        <v>400</v>
      </c>
      <c r="Z272" s="50">
        <f t="shared" si="92"/>
        <v>50</v>
      </c>
      <c r="AA272" s="50">
        <f t="shared" si="93"/>
        <v>350</v>
      </c>
      <c r="AB272" s="50">
        <f t="shared" si="94"/>
        <v>50</v>
      </c>
      <c r="AC272" s="50">
        <f t="shared" si="95"/>
        <v>300</v>
      </c>
      <c r="AD272" s="50">
        <f t="shared" si="96"/>
        <v>50</v>
      </c>
      <c r="AE272" s="50">
        <f t="shared" si="97"/>
        <v>250</v>
      </c>
      <c r="AF272" s="50">
        <f t="shared" si="98"/>
        <v>50</v>
      </c>
      <c r="AG272" s="51" t="str">
        <f t="shared" si="99"/>
        <v xml:space="preserve">5 MACHINERY,UTILITIESALL </v>
      </c>
      <c r="AH272" s="41"/>
      <c r="AI272" s="1">
        <v>8150</v>
      </c>
      <c r="AJ272" s="1" t="s">
        <v>811</v>
      </c>
    </row>
    <row r="273" spans="1:36" ht="15.95" customHeight="1">
      <c r="A273" s="41" t="s">
        <v>828</v>
      </c>
      <c r="B273" s="42" t="s">
        <v>293</v>
      </c>
      <c r="C273" s="136" t="s">
        <v>829</v>
      </c>
      <c r="D273" s="139" t="s">
        <v>809</v>
      </c>
      <c r="E273" s="42" t="s">
        <v>119</v>
      </c>
      <c r="F273" s="42" t="s">
        <v>72</v>
      </c>
      <c r="G273" s="42" t="s">
        <v>810</v>
      </c>
      <c r="H273" s="41">
        <v>2026</v>
      </c>
      <c r="I273" s="45" t="s">
        <v>549</v>
      </c>
      <c r="J273" s="45"/>
      <c r="K273" s="54">
        <v>25</v>
      </c>
      <c r="L273" s="54">
        <v>750</v>
      </c>
      <c r="M273" s="48">
        <f>+IF(E273="",0,VLOOKUP(E273,[1]Code!J:K,2,0))</f>
        <v>8</v>
      </c>
      <c r="N273" s="49">
        <f t="shared" si="80"/>
        <v>0.125</v>
      </c>
      <c r="O273" s="50">
        <f t="shared" si="81"/>
        <v>0</v>
      </c>
      <c r="P273" s="50">
        <f t="shared" si="82"/>
        <v>0</v>
      </c>
      <c r="Q273" s="50">
        <f t="shared" si="83"/>
        <v>0</v>
      </c>
      <c r="R273" s="50">
        <f t="shared" si="84"/>
        <v>0</v>
      </c>
      <c r="S273" s="50">
        <f t="shared" si="85"/>
        <v>0</v>
      </c>
      <c r="T273" s="50">
        <f t="shared" si="86"/>
        <v>0</v>
      </c>
      <c r="U273" s="50">
        <f t="shared" si="87"/>
        <v>0</v>
      </c>
      <c r="V273" s="50">
        <f t="shared" si="88"/>
        <v>0</v>
      </c>
      <c r="W273" s="50">
        <f t="shared" si="89"/>
        <v>0</v>
      </c>
      <c r="X273" s="50">
        <f t="shared" si="90"/>
        <v>0</v>
      </c>
      <c r="Y273" s="50">
        <f t="shared" si="91"/>
        <v>750</v>
      </c>
      <c r="Z273" s="50">
        <f t="shared" si="92"/>
        <v>93.75</v>
      </c>
      <c r="AA273" s="50">
        <f t="shared" si="93"/>
        <v>656.25</v>
      </c>
      <c r="AB273" s="50">
        <f t="shared" si="94"/>
        <v>93.75</v>
      </c>
      <c r="AC273" s="50">
        <f t="shared" si="95"/>
        <v>562.5</v>
      </c>
      <c r="AD273" s="50">
        <f t="shared" si="96"/>
        <v>93.75</v>
      </c>
      <c r="AE273" s="50">
        <f t="shared" si="97"/>
        <v>468.75</v>
      </c>
      <c r="AF273" s="50">
        <f t="shared" si="98"/>
        <v>93.75</v>
      </c>
      <c r="AG273" s="51" t="str">
        <f t="shared" si="99"/>
        <v xml:space="preserve">5 MACHINERY,UTILITIESALL </v>
      </c>
      <c r="AH273" s="41"/>
      <c r="AI273" s="1">
        <v>8150</v>
      </c>
      <c r="AJ273" s="1" t="s">
        <v>811</v>
      </c>
    </row>
    <row r="274" spans="1:36" ht="15.95" customHeight="1">
      <c r="A274" s="41" t="s">
        <v>830</v>
      </c>
      <c r="B274" s="42" t="s">
        <v>293</v>
      </c>
      <c r="C274" s="136" t="s">
        <v>831</v>
      </c>
      <c r="D274" s="138" t="s">
        <v>809</v>
      </c>
      <c r="E274" s="42" t="s">
        <v>119</v>
      </c>
      <c r="F274" s="42" t="s">
        <v>72</v>
      </c>
      <c r="G274" s="42" t="s">
        <v>810</v>
      </c>
      <c r="H274" s="41">
        <v>2026</v>
      </c>
      <c r="I274" s="45" t="s">
        <v>549</v>
      </c>
      <c r="J274" s="45"/>
      <c r="K274" s="54">
        <v>1</v>
      </c>
      <c r="L274" s="54">
        <v>100</v>
      </c>
      <c r="M274" s="48">
        <f>+IF(E274="",0,VLOOKUP(E274,[1]Code!J:K,2,0))</f>
        <v>8</v>
      </c>
      <c r="N274" s="49">
        <f t="shared" si="80"/>
        <v>0.125</v>
      </c>
      <c r="O274" s="50">
        <f t="shared" si="81"/>
        <v>0</v>
      </c>
      <c r="P274" s="50">
        <f t="shared" si="82"/>
        <v>0</v>
      </c>
      <c r="Q274" s="50">
        <f t="shared" si="83"/>
        <v>0</v>
      </c>
      <c r="R274" s="50">
        <f t="shared" si="84"/>
        <v>0</v>
      </c>
      <c r="S274" s="50">
        <f t="shared" si="85"/>
        <v>0</v>
      </c>
      <c r="T274" s="50">
        <f t="shared" si="86"/>
        <v>0</v>
      </c>
      <c r="U274" s="50">
        <f t="shared" si="87"/>
        <v>0</v>
      </c>
      <c r="V274" s="50">
        <f t="shared" si="88"/>
        <v>0</v>
      </c>
      <c r="W274" s="50">
        <f t="shared" si="89"/>
        <v>0</v>
      </c>
      <c r="X274" s="50">
        <f t="shared" si="90"/>
        <v>0</v>
      </c>
      <c r="Y274" s="50">
        <f t="shared" si="91"/>
        <v>100</v>
      </c>
      <c r="Z274" s="50">
        <f t="shared" si="92"/>
        <v>12.5</v>
      </c>
      <c r="AA274" s="50">
        <f t="shared" si="93"/>
        <v>87.5</v>
      </c>
      <c r="AB274" s="50">
        <f t="shared" si="94"/>
        <v>12.5</v>
      </c>
      <c r="AC274" s="50">
        <f t="shared" si="95"/>
        <v>75</v>
      </c>
      <c r="AD274" s="50">
        <f t="shared" si="96"/>
        <v>12.5</v>
      </c>
      <c r="AE274" s="50">
        <f t="shared" si="97"/>
        <v>62.5</v>
      </c>
      <c r="AF274" s="50">
        <f t="shared" si="98"/>
        <v>12.5</v>
      </c>
      <c r="AG274" s="51" t="str">
        <f t="shared" si="99"/>
        <v xml:space="preserve">5 MACHINERY,UTILITIESALL </v>
      </c>
      <c r="AH274" s="41"/>
      <c r="AI274" s="1">
        <v>8150</v>
      </c>
      <c r="AJ274" s="1" t="s">
        <v>811</v>
      </c>
    </row>
    <row r="275" spans="1:36" ht="15.95" customHeight="1">
      <c r="A275" s="41" t="s">
        <v>832</v>
      </c>
      <c r="B275" s="42" t="s">
        <v>293</v>
      </c>
      <c r="C275" s="136" t="s">
        <v>833</v>
      </c>
      <c r="D275" s="138" t="s">
        <v>809</v>
      </c>
      <c r="E275" s="42" t="s">
        <v>119</v>
      </c>
      <c r="F275" s="42" t="s">
        <v>72</v>
      </c>
      <c r="G275" s="42" t="s">
        <v>810</v>
      </c>
      <c r="H275" s="41">
        <v>2026</v>
      </c>
      <c r="I275" s="45" t="s">
        <v>549</v>
      </c>
      <c r="J275" s="45"/>
      <c r="K275" s="54">
        <v>1</v>
      </c>
      <c r="L275" s="54">
        <v>200</v>
      </c>
      <c r="M275" s="48">
        <f>+IF(E275="",0,VLOOKUP(E275,[1]Code!J:K,2,0))</f>
        <v>8</v>
      </c>
      <c r="N275" s="49">
        <f t="shared" si="80"/>
        <v>0.125</v>
      </c>
      <c r="O275" s="50">
        <f t="shared" si="81"/>
        <v>0</v>
      </c>
      <c r="P275" s="50">
        <f t="shared" si="82"/>
        <v>0</v>
      </c>
      <c r="Q275" s="50">
        <f t="shared" si="83"/>
        <v>0</v>
      </c>
      <c r="R275" s="50">
        <f t="shared" si="84"/>
        <v>0</v>
      </c>
      <c r="S275" s="50">
        <f t="shared" si="85"/>
        <v>0</v>
      </c>
      <c r="T275" s="50">
        <f t="shared" si="86"/>
        <v>0</v>
      </c>
      <c r="U275" s="50">
        <f t="shared" si="87"/>
        <v>0</v>
      </c>
      <c r="V275" s="50">
        <f t="shared" si="88"/>
        <v>0</v>
      </c>
      <c r="W275" s="50">
        <f t="shared" si="89"/>
        <v>0</v>
      </c>
      <c r="X275" s="50">
        <f t="shared" si="90"/>
        <v>0</v>
      </c>
      <c r="Y275" s="50">
        <f t="shared" si="91"/>
        <v>200</v>
      </c>
      <c r="Z275" s="50">
        <f t="shared" si="92"/>
        <v>25</v>
      </c>
      <c r="AA275" s="50">
        <f t="shared" si="93"/>
        <v>175</v>
      </c>
      <c r="AB275" s="50">
        <f t="shared" si="94"/>
        <v>25</v>
      </c>
      <c r="AC275" s="50">
        <f t="shared" si="95"/>
        <v>150</v>
      </c>
      <c r="AD275" s="50">
        <f t="shared" si="96"/>
        <v>25</v>
      </c>
      <c r="AE275" s="50">
        <f t="shared" si="97"/>
        <v>125</v>
      </c>
      <c r="AF275" s="50">
        <f t="shared" si="98"/>
        <v>25</v>
      </c>
      <c r="AG275" s="51" t="str">
        <f t="shared" si="99"/>
        <v xml:space="preserve">5 MACHINERY,UTILITIESALL </v>
      </c>
      <c r="AH275" s="41"/>
      <c r="AI275" s="1">
        <v>8150</v>
      </c>
      <c r="AJ275" s="1" t="s">
        <v>811</v>
      </c>
    </row>
    <row r="276" spans="1:36" ht="21" customHeight="1">
      <c r="A276" s="41" t="s">
        <v>834</v>
      </c>
      <c r="B276" s="42" t="s">
        <v>293</v>
      </c>
      <c r="C276" s="136" t="s">
        <v>835</v>
      </c>
      <c r="D276" s="138" t="s">
        <v>809</v>
      </c>
      <c r="E276" s="42" t="s">
        <v>119</v>
      </c>
      <c r="F276" s="42" t="s">
        <v>72</v>
      </c>
      <c r="G276" s="42" t="s">
        <v>810</v>
      </c>
      <c r="H276" s="41">
        <v>2026</v>
      </c>
      <c r="I276" s="45" t="s">
        <v>549</v>
      </c>
      <c r="J276" s="45"/>
      <c r="K276" s="54">
        <v>2</v>
      </c>
      <c r="L276" s="54">
        <v>1400</v>
      </c>
      <c r="M276" s="48">
        <f>+IF(E276="",0,VLOOKUP(E276,[1]Code!J:K,2,0))</f>
        <v>8</v>
      </c>
      <c r="N276" s="49">
        <f t="shared" si="80"/>
        <v>0.125</v>
      </c>
      <c r="O276" s="50">
        <f t="shared" si="81"/>
        <v>0</v>
      </c>
      <c r="P276" s="50">
        <f t="shared" si="82"/>
        <v>0</v>
      </c>
      <c r="Q276" s="50">
        <f t="shared" si="83"/>
        <v>0</v>
      </c>
      <c r="R276" s="50">
        <f t="shared" si="84"/>
        <v>0</v>
      </c>
      <c r="S276" s="50">
        <f t="shared" si="85"/>
        <v>0</v>
      </c>
      <c r="T276" s="50">
        <f t="shared" si="86"/>
        <v>0</v>
      </c>
      <c r="U276" s="50">
        <f t="shared" si="87"/>
        <v>0</v>
      </c>
      <c r="V276" s="50">
        <f t="shared" si="88"/>
        <v>0</v>
      </c>
      <c r="W276" s="50">
        <f t="shared" si="89"/>
        <v>0</v>
      </c>
      <c r="X276" s="50">
        <f t="shared" si="90"/>
        <v>0</v>
      </c>
      <c r="Y276" s="50">
        <f t="shared" si="91"/>
        <v>1400</v>
      </c>
      <c r="Z276" s="50">
        <f t="shared" si="92"/>
        <v>175</v>
      </c>
      <c r="AA276" s="50">
        <f t="shared" si="93"/>
        <v>1225</v>
      </c>
      <c r="AB276" s="50">
        <f t="shared" si="94"/>
        <v>175</v>
      </c>
      <c r="AC276" s="50">
        <f t="shared" si="95"/>
        <v>1050</v>
      </c>
      <c r="AD276" s="50">
        <f t="shared" si="96"/>
        <v>175</v>
      </c>
      <c r="AE276" s="50">
        <f t="shared" si="97"/>
        <v>875</v>
      </c>
      <c r="AF276" s="50">
        <f t="shared" si="98"/>
        <v>175</v>
      </c>
      <c r="AG276" s="51" t="str">
        <f t="shared" si="99"/>
        <v xml:space="preserve">5 MACHINERY,UTILITIESALL </v>
      </c>
      <c r="AH276" s="41"/>
      <c r="AI276" s="1">
        <v>8150</v>
      </c>
      <c r="AJ276" s="1" t="s">
        <v>811</v>
      </c>
    </row>
    <row r="277" spans="1:36" ht="21" customHeight="1">
      <c r="A277" s="41" t="s">
        <v>836</v>
      </c>
      <c r="B277" s="42" t="s">
        <v>95</v>
      </c>
      <c r="C277" s="79" t="s">
        <v>837</v>
      </c>
      <c r="D277" s="61" t="s">
        <v>100</v>
      </c>
      <c r="E277" s="42" t="s">
        <v>52</v>
      </c>
      <c r="F277" s="42" t="s">
        <v>72</v>
      </c>
      <c r="G277" s="42" t="s">
        <v>810</v>
      </c>
      <c r="H277" s="41">
        <v>2026</v>
      </c>
      <c r="I277" s="45" t="s">
        <v>135</v>
      </c>
      <c r="J277" s="45"/>
      <c r="K277" s="54">
        <v>21</v>
      </c>
      <c r="L277" s="54">
        <v>25400</v>
      </c>
      <c r="M277" s="48">
        <f>+IF(E277="",0,VLOOKUP(E277,[1]Code!J:K,2,0))</f>
        <v>10</v>
      </c>
      <c r="N277" s="49">
        <f t="shared" si="80"/>
        <v>0.1</v>
      </c>
      <c r="O277" s="50">
        <f t="shared" si="81"/>
        <v>0</v>
      </c>
      <c r="P277" s="50">
        <f t="shared" si="82"/>
        <v>0</v>
      </c>
      <c r="Q277" s="50">
        <f t="shared" si="83"/>
        <v>0</v>
      </c>
      <c r="R277" s="50">
        <f t="shared" si="84"/>
        <v>0</v>
      </c>
      <c r="S277" s="50">
        <f t="shared" si="85"/>
        <v>0</v>
      </c>
      <c r="T277" s="50">
        <f t="shared" si="86"/>
        <v>0</v>
      </c>
      <c r="U277" s="50">
        <f t="shared" si="87"/>
        <v>0</v>
      </c>
      <c r="V277" s="50">
        <f t="shared" si="88"/>
        <v>0</v>
      </c>
      <c r="W277" s="50">
        <f t="shared" si="89"/>
        <v>0</v>
      </c>
      <c r="X277" s="50">
        <f t="shared" si="90"/>
        <v>0</v>
      </c>
      <c r="Y277" s="50">
        <f t="shared" si="91"/>
        <v>25400</v>
      </c>
      <c r="Z277" s="50">
        <f t="shared" si="92"/>
        <v>2540</v>
      </c>
      <c r="AA277" s="50">
        <f t="shared" si="93"/>
        <v>22860</v>
      </c>
      <c r="AB277" s="50">
        <f t="shared" si="94"/>
        <v>2540</v>
      </c>
      <c r="AC277" s="50">
        <f t="shared" si="95"/>
        <v>20320</v>
      </c>
      <c r="AD277" s="50">
        <f t="shared" si="96"/>
        <v>2540</v>
      </c>
      <c r="AE277" s="50">
        <f t="shared" si="97"/>
        <v>17780</v>
      </c>
      <c r="AF277" s="50">
        <f t="shared" si="98"/>
        <v>2540</v>
      </c>
      <c r="AG277" s="51" t="str">
        <f t="shared" si="99"/>
        <v xml:space="preserve">15 VEHICLESALL </v>
      </c>
      <c r="AH277" s="41"/>
      <c r="AI277" s="1">
        <v>8150</v>
      </c>
      <c r="AJ277" s="1" t="s">
        <v>811</v>
      </c>
    </row>
    <row r="278" spans="1:36" ht="15.95" customHeight="1">
      <c r="A278" s="41" t="s">
        <v>838</v>
      </c>
      <c r="B278" s="42" t="s">
        <v>95</v>
      </c>
      <c r="C278" s="55" t="s">
        <v>839</v>
      </c>
      <c r="D278" s="61" t="s">
        <v>840</v>
      </c>
      <c r="E278" s="42" t="s">
        <v>97</v>
      </c>
      <c r="F278" s="42" t="s">
        <v>72</v>
      </c>
      <c r="G278" s="42" t="s">
        <v>810</v>
      </c>
      <c r="H278" s="41">
        <v>2026</v>
      </c>
      <c r="I278" s="45" t="s">
        <v>135</v>
      </c>
      <c r="J278" s="45"/>
      <c r="K278" s="54">
        <v>10</v>
      </c>
      <c r="L278" s="54">
        <v>150</v>
      </c>
      <c r="M278" s="48">
        <f>+IF(E278="",0,VLOOKUP(E278,[1]Code!J:K,2,0))</f>
        <v>5</v>
      </c>
      <c r="N278" s="49">
        <f t="shared" si="80"/>
        <v>0.2</v>
      </c>
      <c r="O278" s="50">
        <f t="shared" si="81"/>
        <v>0</v>
      </c>
      <c r="P278" s="50">
        <f t="shared" si="82"/>
        <v>0</v>
      </c>
      <c r="Q278" s="50">
        <f t="shared" si="83"/>
        <v>0</v>
      </c>
      <c r="R278" s="50">
        <f t="shared" si="84"/>
        <v>0</v>
      </c>
      <c r="S278" s="50">
        <f t="shared" si="85"/>
        <v>0</v>
      </c>
      <c r="T278" s="50">
        <f t="shared" si="86"/>
        <v>0</v>
      </c>
      <c r="U278" s="50">
        <f t="shared" si="87"/>
        <v>0</v>
      </c>
      <c r="V278" s="50">
        <f t="shared" si="88"/>
        <v>0</v>
      </c>
      <c r="W278" s="50">
        <f t="shared" si="89"/>
        <v>0</v>
      </c>
      <c r="X278" s="50">
        <f t="shared" si="90"/>
        <v>0</v>
      </c>
      <c r="Y278" s="50">
        <f t="shared" si="91"/>
        <v>150</v>
      </c>
      <c r="Z278" s="50">
        <f t="shared" si="92"/>
        <v>30</v>
      </c>
      <c r="AA278" s="50">
        <f t="shared" si="93"/>
        <v>120</v>
      </c>
      <c r="AB278" s="50">
        <f t="shared" si="94"/>
        <v>30</v>
      </c>
      <c r="AC278" s="50">
        <f t="shared" si="95"/>
        <v>90</v>
      </c>
      <c r="AD278" s="50">
        <f t="shared" si="96"/>
        <v>30</v>
      </c>
      <c r="AE278" s="50">
        <f t="shared" si="97"/>
        <v>60</v>
      </c>
      <c r="AF278" s="50">
        <f t="shared" si="98"/>
        <v>30</v>
      </c>
      <c r="AG278" s="51" t="str">
        <f t="shared" si="99"/>
        <v xml:space="preserve">14 OFFICE EQUIPMENTSALL </v>
      </c>
      <c r="AH278" s="41"/>
      <c r="AI278" s="1">
        <v>8150</v>
      </c>
      <c r="AJ278" s="1" t="s">
        <v>811</v>
      </c>
    </row>
    <row r="279" spans="1:36" ht="15.95" customHeight="1">
      <c r="A279" s="41" t="s">
        <v>841</v>
      </c>
      <c r="B279" s="42" t="s">
        <v>95</v>
      </c>
      <c r="C279" s="43" t="s">
        <v>842</v>
      </c>
      <c r="D279" s="52" t="s">
        <v>843</v>
      </c>
      <c r="E279" s="42" t="s">
        <v>119</v>
      </c>
      <c r="F279" s="42"/>
      <c r="G279" s="42" t="s">
        <v>844</v>
      </c>
      <c r="H279" s="41">
        <v>2026</v>
      </c>
      <c r="I279" s="45" t="s">
        <v>73</v>
      </c>
      <c r="J279" s="45"/>
      <c r="K279" s="54">
        <v>4</v>
      </c>
      <c r="L279" s="54">
        <v>320</v>
      </c>
      <c r="M279" s="48">
        <f>+IF(E279="",0,VLOOKUP(E279,[1]Code!J:K,2,0))</f>
        <v>8</v>
      </c>
      <c r="N279" s="49">
        <f t="shared" si="80"/>
        <v>0.125</v>
      </c>
      <c r="O279" s="50">
        <f t="shared" si="81"/>
        <v>0</v>
      </c>
      <c r="P279" s="50">
        <f t="shared" si="82"/>
        <v>0</v>
      </c>
      <c r="Q279" s="50">
        <f t="shared" si="83"/>
        <v>0</v>
      </c>
      <c r="R279" s="50">
        <f t="shared" si="84"/>
        <v>0</v>
      </c>
      <c r="S279" s="50">
        <f t="shared" si="85"/>
        <v>0</v>
      </c>
      <c r="T279" s="50">
        <f t="shared" si="86"/>
        <v>0</v>
      </c>
      <c r="U279" s="50">
        <f t="shared" si="87"/>
        <v>0</v>
      </c>
      <c r="V279" s="50">
        <f t="shared" si="88"/>
        <v>0</v>
      </c>
      <c r="W279" s="50">
        <f t="shared" si="89"/>
        <v>0</v>
      </c>
      <c r="X279" s="50">
        <f t="shared" si="90"/>
        <v>0</v>
      </c>
      <c r="Y279" s="50">
        <f t="shared" si="91"/>
        <v>320</v>
      </c>
      <c r="Z279" s="50">
        <f t="shared" si="92"/>
        <v>40</v>
      </c>
      <c r="AA279" s="50">
        <f t="shared" si="93"/>
        <v>280</v>
      </c>
      <c r="AB279" s="50">
        <f t="shared" si="94"/>
        <v>40</v>
      </c>
      <c r="AC279" s="50">
        <f t="shared" si="95"/>
        <v>240</v>
      </c>
      <c r="AD279" s="50">
        <f t="shared" si="96"/>
        <v>40</v>
      </c>
      <c r="AE279" s="50">
        <f t="shared" si="97"/>
        <v>200</v>
      </c>
      <c r="AF279" s="50">
        <f t="shared" si="98"/>
        <v>40</v>
      </c>
      <c r="AG279" s="51" t="str">
        <f t="shared" si="99"/>
        <v>5 MACHINERY,UTILITIES</v>
      </c>
      <c r="AH279" s="41"/>
      <c r="AI279" s="1">
        <v>8130</v>
      </c>
      <c r="AJ279" s="1" t="s">
        <v>844</v>
      </c>
    </row>
    <row r="280" spans="1:36" ht="15.95" customHeight="1">
      <c r="A280" s="41" t="s">
        <v>845</v>
      </c>
      <c r="B280" s="42" t="s">
        <v>95</v>
      </c>
      <c r="C280" s="43" t="s">
        <v>846</v>
      </c>
      <c r="D280" s="55" t="s">
        <v>847</v>
      </c>
      <c r="E280" s="42" t="s">
        <v>119</v>
      </c>
      <c r="F280" s="42"/>
      <c r="G280" s="42" t="s">
        <v>844</v>
      </c>
      <c r="H280" s="41">
        <v>2026</v>
      </c>
      <c r="I280" s="45">
        <v>46235</v>
      </c>
      <c r="J280" s="45"/>
      <c r="K280" s="54">
        <v>1</v>
      </c>
      <c r="L280" s="54">
        <v>150</v>
      </c>
      <c r="M280" s="48">
        <f>+IF(E280="",0,VLOOKUP(E280,[1]Code!J:K,2,0))</f>
        <v>8</v>
      </c>
      <c r="N280" s="49">
        <f t="shared" si="80"/>
        <v>0.125</v>
      </c>
      <c r="O280" s="50">
        <f t="shared" si="81"/>
        <v>0</v>
      </c>
      <c r="P280" s="50">
        <f t="shared" si="82"/>
        <v>0</v>
      </c>
      <c r="Q280" s="50">
        <f t="shared" si="83"/>
        <v>0</v>
      </c>
      <c r="R280" s="50">
        <f t="shared" si="84"/>
        <v>0</v>
      </c>
      <c r="S280" s="50">
        <f t="shared" si="85"/>
        <v>0</v>
      </c>
      <c r="T280" s="50">
        <f t="shared" si="86"/>
        <v>0</v>
      </c>
      <c r="U280" s="50">
        <f t="shared" si="87"/>
        <v>0</v>
      </c>
      <c r="V280" s="50">
        <f t="shared" si="88"/>
        <v>0</v>
      </c>
      <c r="W280" s="50">
        <f t="shared" si="89"/>
        <v>0</v>
      </c>
      <c r="X280" s="50">
        <f t="shared" si="90"/>
        <v>0</v>
      </c>
      <c r="Y280" s="50">
        <f t="shared" si="91"/>
        <v>150</v>
      </c>
      <c r="Z280" s="50">
        <f t="shared" si="92"/>
        <v>18.75</v>
      </c>
      <c r="AA280" s="50">
        <f t="shared" si="93"/>
        <v>131.25</v>
      </c>
      <c r="AB280" s="50">
        <f t="shared" si="94"/>
        <v>18.75</v>
      </c>
      <c r="AC280" s="50">
        <f t="shared" si="95"/>
        <v>112.5</v>
      </c>
      <c r="AD280" s="50">
        <f t="shared" si="96"/>
        <v>18.75</v>
      </c>
      <c r="AE280" s="50">
        <f t="shared" si="97"/>
        <v>93.75</v>
      </c>
      <c r="AF280" s="50">
        <f t="shared" si="98"/>
        <v>18.75</v>
      </c>
      <c r="AG280" s="51" t="str">
        <f t="shared" si="99"/>
        <v>5 MACHINERY,UTILITIES</v>
      </c>
      <c r="AH280" s="41"/>
      <c r="AI280" s="1">
        <v>8130</v>
      </c>
      <c r="AJ280" s="1" t="s">
        <v>844</v>
      </c>
    </row>
    <row r="281" spans="1:36" ht="15.95" customHeight="1">
      <c r="A281" s="41" t="s">
        <v>845</v>
      </c>
      <c r="B281" s="42" t="s">
        <v>95</v>
      </c>
      <c r="C281" s="55" t="s">
        <v>848</v>
      </c>
      <c r="D281" s="55" t="s">
        <v>849</v>
      </c>
      <c r="E281" s="42" t="s">
        <v>71</v>
      </c>
      <c r="F281" s="42"/>
      <c r="G281" s="42" t="s">
        <v>844</v>
      </c>
      <c r="H281" s="41">
        <v>2026</v>
      </c>
      <c r="I281" s="45">
        <v>46235</v>
      </c>
      <c r="J281" s="45"/>
      <c r="K281" s="54">
        <v>1</v>
      </c>
      <c r="L281" s="54">
        <v>2000</v>
      </c>
      <c r="M281" s="48">
        <f>+IF(E281="",0,VLOOKUP(E281,[1]Code!J:K,2,0))</f>
        <v>6</v>
      </c>
      <c r="N281" s="49">
        <f t="shared" si="80"/>
        <v>0.16666666666666666</v>
      </c>
      <c r="O281" s="50">
        <f t="shared" si="81"/>
        <v>0</v>
      </c>
      <c r="P281" s="50">
        <f t="shared" si="82"/>
        <v>0</v>
      </c>
      <c r="Q281" s="50">
        <f t="shared" si="83"/>
        <v>0</v>
      </c>
      <c r="R281" s="50">
        <f t="shared" si="84"/>
        <v>0</v>
      </c>
      <c r="S281" s="50">
        <f t="shared" si="85"/>
        <v>0</v>
      </c>
      <c r="T281" s="50">
        <f t="shared" si="86"/>
        <v>0</v>
      </c>
      <c r="U281" s="50">
        <f t="shared" si="87"/>
        <v>0</v>
      </c>
      <c r="V281" s="50">
        <f t="shared" si="88"/>
        <v>0</v>
      </c>
      <c r="W281" s="50">
        <f t="shared" si="89"/>
        <v>0</v>
      </c>
      <c r="X281" s="50">
        <f t="shared" si="90"/>
        <v>0</v>
      </c>
      <c r="Y281" s="50">
        <f t="shared" si="91"/>
        <v>2000</v>
      </c>
      <c r="Z281" s="50">
        <f t="shared" si="92"/>
        <v>333.33300000000003</v>
      </c>
      <c r="AA281" s="50">
        <f t="shared" si="93"/>
        <v>1666.6669999999999</v>
      </c>
      <c r="AB281" s="50">
        <f t="shared" si="94"/>
        <v>333.33300000000003</v>
      </c>
      <c r="AC281" s="50">
        <f t="shared" si="95"/>
        <v>1333.3339999999998</v>
      </c>
      <c r="AD281" s="50">
        <f t="shared" si="96"/>
        <v>333.33300000000003</v>
      </c>
      <c r="AE281" s="50">
        <f t="shared" si="97"/>
        <v>1000.0009999999997</v>
      </c>
      <c r="AF281" s="50">
        <f t="shared" si="98"/>
        <v>333.33300000000003</v>
      </c>
      <c r="AG281" s="51" t="str">
        <f t="shared" si="99"/>
        <v>13 INTANGIBLE ASSETS</v>
      </c>
      <c r="AH281" s="41"/>
      <c r="AI281" s="1">
        <v>8130</v>
      </c>
      <c r="AJ281" s="1" t="s">
        <v>844</v>
      </c>
    </row>
    <row r="282" spans="1:36" ht="15.95" customHeight="1">
      <c r="A282" s="41" t="s">
        <v>812</v>
      </c>
      <c r="B282" s="42" t="s">
        <v>850</v>
      </c>
      <c r="C282" s="43" t="s">
        <v>851</v>
      </c>
      <c r="D282" s="79" t="s">
        <v>852</v>
      </c>
      <c r="E282" s="42" t="s">
        <v>119</v>
      </c>
      <c r="F282" s="42"/>
      <c r="G282" s="42" t="s">
        <v>328</v>
      </c>
      <c r="H282" s="41">
        <v>2026</v>
      </c>
      <c r="I282" s="45" t="s">
        <v>741</v>
      </c>
      <c r="J282" s="45" t="s">
        <v>853</v>
      </c>
      <c r="K282" s="54">
        <v>18</v>
      </c>
      <c r="L282" s="54">
        <v>1422</v>
      </c>
      <c r="M282" s="48">
        <f>+IF(E282="",0,VLOOKUP(E282,[1]Code!J:K,2,0))</f>
        <v>8</v>
      </c>
      <c r="N282" s="49">
        <f t="shared" si="80"/>
        <v>0.125</v>
      </c>
      <c r="O282" s="50">
        <f t="shared" si="81"/>
        <v>0</v>
      </c>
      <c r="P282" s="50">
        <f t="shared" si="82"/>
        <v>0</v>
      </c>
      <c r="Q282" s="50">
        <f t="shared" si="83"/>
        <v>0</v>
      </c>
      <c r="R282" s="50">
        <f t="shared" si="84"/>
        <v>0</v>
      </c>
      <c r="S282" s="50">
        <f t="shared" si="85"/>
        <v>0</v>
      </c>
      <c r="T282" s="50">
        <f t="shared" si="86"/>
        <v>0</v>
      </c>
      <c r="U282" s="50">
        <f t="shared" si="87"/>
        <v>0</v>
      </c>
      <c r="V282" s="50">
        <f t="shared" si="88"/>
        <v>0</v>
      </c>
      <c r="W282" s="50">
        <f t="shared" si="89"/>
        <v>0</v>
      </c>
      <c r="X282" s="50">
        <f t="shared" si="90"/>
        <v>0</v>
      </c>
      <c r="Y282" s="50">
        <f t="shared" si="91"/>
        <v>1422</v>
      </c>
      <c r="Z282" s="50">
        <f t="shared" si="92"/>
        <v>177.75</v>
      </c>
      <c r="AA282" s="50">
        <f t="shared" si="93"/>
        <v>1244.25</v>
      </c>
      <c r="AB282" s="50">
        <f t="shared" si="94"/>
        <v>177.75</v>
      </c>
      <c r="AC282" s="50">
        <f t="shared" si="95"/>
        <v>1066.5</v>
      </c>
      <c r="AD282" s="50">
        <f t="shared" si="96"/>
        <v>177.75</v>
      </c>
      <c r="AE282" s="50">
        <f t="shared" si="97"/>
        <v>888.75</v>
      </c>
      <c r="AF282" s="50">
        <f t="shared" si="98"/>
        <v>177.75</v>
      </c>
      <c r="AG282" s="51" t="str">
        <f t="shared" si="99"/>
        <v>5 MACHINERY,UTILITIES</v>
      </c>
      <c r="AI282" s="1">
        <v>8150</v>
      </c>
      <c r="AJ282" s="1" t="s">
        <v>854</v>
      </c>
    </row>
    <row r="283" spans="1:36" ht="15.95" customHeight="1">
      <c r="A283" s="41" t="s">
        <v>855</v>
      </c>
      <c r="B283" s="42" t="s">
        <v>856</v>
      </c>
      <c r="C283" s="140" t="s">
        <v>857</v>
      </c>
      <c r="D283" s="141" t="s">
        <v>858</v>
      </c>
      <c r="E283" s="42" t="s">
        <v>119</v>
      </c>
      <c r="F283" s="42"/>
      <c r="G283" s="42" t="s">
        <v>859</v>
      </c>
      <c r="H283" s="41">
        <v>2026</v>
      </c>
      <c r="I283" s="45" t="s">
        <v>860</v>
      </c>
      <c r="J283" s="45"/>
      <c r="K283" s="46" t="s">
        <v>861</v>
      </c>
      <c r="L283" s="54">
        <f>44000000/1000</f>
        <v>44000</v>
      </c>
      <c r="M283" s="48">
        <f>+IF(E283="",0,VLOOKUP(E283,[1]Code!J:K,2,0))</f>
        <v>8</v>
      </c>
      <c r="N283" s="49">
        <f t="shared" si="80"/>
        <v>0.125</v>
      </c>
      <c r="O283" s="50">
        <f t="shared" si="81"/>
        <v>0</v>
      </c>
      <c r="P283" s="50">
        <f t="shared" si="82"/>
        <v>0</v>
      </c>
      <c r="Q283" s="50">
        <f t="shared" si="83"/>
        <v>0</v>
      </c>
      <c r="R283" s="50">
        <f t="shared" si="84"/>
        <v>0</v>
      </c>
      <c r="S283" s="50">
        <f t="shared" si="85"/>
        <v>0</v>
      </c>
      <c r="T283" s="50">
        <f t="shared" si="86"/>
        <v>0</v>
      </c>
      <c r="U283" s="50">
        <f t="shared" si="87"/>
        <v>0</v>
      </c>
      <c r="V283" s="50">
        <f t="shared" si="88"/>
        <v>0</v>
      </c>
      <c r="W283" s="50">
        <f t="shared" si="89"/>
        <v>0</v>
      </c>
      <c r="X283" s="50">
        <f t="shared" si="90"/>
        <v>0</v>
      </c>
      <c r="Y283" s="50">
        <f t="shared" si="91"/>
        <v>44000</v>
      </c>
      <c r="Z283" s="50">
        <f t="shared" si="92"/>
        <v>5500</v>
      </c>
      <c r="AA283" s="50">
        <f t="shared" si="93"/>
        <v>38500</v>
      </c>
      <c r="AB283" s="50">
        <f t="shared" si="94"/>
        <v>5500</v>
      </c>
      <c r="AC283" s="50">
        <f t="shared" si="95"/>
        <v>33000</v>
      </c>
      <c r="AD283" s="50">
        <f t="shared" si="96"/>
        <v>5500</v>
      </c>
      <c r="AE283" s="50">
        <f t="shared" si="97"/>
        <v>27500</v>
      </c>
      <c r="AF283" s="50">
        <f t="shared" si="98"/>
        <v>5500</v>
      </c>
      <c r="AG283" s="51" t="str">
        <f t="shared" si="99"/>
        <v>5 MACHINERY,UTILITIES</v>
      </c>
      <c r="AI283" s="1" t="s">
        <v>862</v>
      </c>
      <c r="AJ283" s="1" t="s">
        <v>863</v>
      </c>
    </row>
    <row r="284" spans="1:36" ht="15.95" customHeight="1">
      <c r="A284" s="41" t="s">
        <v>864</v>
      </c>
      <c r="B284" s="42" t="s">
        <v>856</v>
      </c>
      <c r="C284" s="140" t="s">
        <v>857</v>
      </c>
      <c r="D284" s="141" t="s">
        <v>865</v>
      </c>
      <c r="E284" s="42" t="s">
        <v>119</v>
      </c>
      <c r="F284" s="42"/>
      <c r="G284" s="42" t="s">
        <v>859</v>
      </c>
      <c r="H284" s="41">
        <v>2026</v>
      </c>
      <c r="I284" s="45" t="s">
        <v>860</v>
      </c>
      <c r="J284" s="45"/>
      <c r="K284" s="46" t="s">
        <v>861</v>
      </c>
      <c r="L284" s="54">
        <f>65000000/1000</f>
        <v>65000</v>
      </c>
      <c r="M284" s="48">
        <f>+IF(E284="",0,VLOOKUP(E284,[1]Code!J:K,2,0))</f>
        <v>8</v>
      </c>
      <c r="N284" s="49">
        <f t="shared" si="80"/>
        <v>0.125</v>
      </c>
      <c r="O284" s="50">
        <f t="shared" si="81"/>
        <v>0</v>
      </c>
      <c r="P284" s="50">
        <f t="shared" si="82"/>
        <v>0</v>
      </c>
      <c r="Q284" s="50">
        <f t="shared" si="83"/>
        <v>0</v>
      </c>
      <c r="R284" s="50">
        <f t="shared" si="84"/>
        <v>0</v>
      </c>
      <c r="S284" s="50">
        <f t="shared" si="85"/>
        <v>0</v>
      </c>
      <c r="T284" s="50">
        <f t="shared" si="86"/>
        <v>0</v>
      </c>
      <c r="U284" s="50">
        <f t="shared" si="87"/>
        <v>0</v>
      </c>
      <c r="V284" s="50">
        <f t="shared" si="88"/>
        <v>0</v>
      </c>
      <c r="W284" s="50">
        <f t="shared" si="89"/>
        <v>0</v>
      </c>
      <c r="X284" s="50">
        <f t="shared" si="90"/>
        <v>0</v>
      </c>
      <c r="Y284" s="50">
        <f t="shared" si="91"/>
        <v>65000</v>
      </c>
      <c r="Z284" s="50">
        <f t="shared" si="92"/>
        <v>8125</v>
      </c>
      <c r="AA284" s="50">
        <f t="shared" si="93"/>
        <v>56875</v>
      </c>
      <c r="AB284" s="50">
        <f t="shared" si="94"/>
        <v>8125</v>
      </c>
      <c r="AC284" s="50">
        <f t="shared" si="95"/>
        <v>48750</v>
      </c>
      <c r="AD284" s="50">
        <f t="shared" si="96"/>
        <v>8125</v>
      </c>
      <c r="AE284" s="50">
        <f t="shared" si="97"/>
        <v>40625</v>
      </c>
      <c r="AF284" s="50">
        <f t="shared" si="98"/>
        <v>8125</v>
      </c>
      <c r="AG284" s="51" t="str">
        <f t="shared" si="99"/>
        <v>5 MACHINERY,UTILITIES</v>
      </c>
      <c r="AI284" s="1" t="s">
        <v>862</v>
      </c>
      <c r="AJ284" s="1" t="s">
        <v>863</v>
      </c>
    </row>
    <row r="285" spans="1:36" ht="15.95" customHeight="1">
      <c r="A285" s="41" t="s">
        <v>866</v>
      </c>
      <c r="B285" s="42" t="s">
        <v>856</v>
      </c>
      <c r="C285" s="140" t="s">
        <v>857</v>
      </c>
      <c r="D285" s="140" t="s">
        <v>867</v>
      </c>
      <c r="E285" s="42" t="s">
        <v>119</v>
      </c>
      <c r="F285" s="42"/>
      <c r="G285" s="42" t="s">
        <v>859</v>
      </c>
      <c r="H285" s="41">
        <v>2026</v>
      </c>
      <c r="I285" s="45" t="s">
        <v>860</v>
      </c>
      <c r="J285" s="45"/>
      <c r="K285" s="46">
        <v>2</v>
      </c>
      <c r="L285" s="54">
        <f>90000000/1000</f>
        <v>90000</v>
      </c>
      <c r="M285" s="48">
        <f>+IF(E285="",0,VLOOKUP(E285,[1]Code!J:K,2,0))</f>
        <v>8</v>
      </c>
      <c r="N285" s="49">
        <f t="shared" si="80"/>
        <v>0.125</v>
      </c>
      <c r="O285" s="50">
        <f t="shared" si="81"/>
        <v>0</v>
      </c>
      <c r="P285" s="50">
        <f t="shared" si="82"/>
        <v>0</v>
      </c>
      <c r="Q285" s="50">
        <f t="shared" si="83"/>
        <v>0</v>
      </c>
      <c r="R285" s="50">
        <f t="shared" si="84"/>
        <v>0</v>
      </c>
      <c r="S285" s="50">
        <f t="shared" si="85"/>
        <v>0</v>
      </c>
      <c r="T285" s="50">
        <f t="shared" si="86"/>
        <v>0</v>
      </c>
      <c r="U285" s="50">
        <f t="shared" si="87"/>
        <v>0</v>
      </c>
      <c r="V285" s="50">
        <f t="shared" si="88"/>
        <v>0</v>
      </c>
      <c r="W285" s="50">
        <f t="shared" si="89"/>
        <v>0</v>
      </c>
      <c r="X285" s="50">
        <f t="shared" si="90"/>
        <v>0</v>
      </c>
      <c r="Y285" s="50">
        <f t="shared" si="91"/>
        <v>90000</v>
      </c>
      <c r="Z285" s="50">
        <f t="shared" si="92"/>
        <v>11250</v>
      </c>
      <c r="AA285" s="50">
        <f t="shared" si="93"/>
        <v>78750</v>
      </c>
      <c r="AB285" s="50">
        <f t="shared" si="94"/>
        <v>11250</v>
      </c>
      <c r="AC285" s="50">
        <f t="shared" si="95"/>
        <v>67500</v>
      </c>
      <c r="AD285" s="50">
        <f t="shared" si="96"/>
        <v>11250</v>
      </c>
      <c r="AE285" s="50">
        <f t="shared" si="97"/>
        <v>56250</v>
      </c>
      <c r="AF285" s="50">
        <f t="shared" si="98"/>
        <v>11250</v>
      </c>
      <c r="AG285" s="51" t="str">
        <f t="shared" si="99"/>
        <v>5 MACHINERY,UTILITIES</v>
      </c>
      <c r="AI285" s="1" t="s">
        <v>862</v>
      </c>
      <c r="AJ285" s="1" t="s">
        <v>863</v>
      </c>
    </row>
    <row r="286" spans="1:36" ht="15.95" customHeight="1">
      <c r="A286" s="41" t="s">
        <v>868</v>
      </c>
      <c r="B286" s="42" t="s">
        <v>856</v>
      </c>
      <c r="C286" s="140" t="s">
        <v>857</v>
      </c>
      <c r="D286" s="140" t="s">
        <v>869</v>
      </c>
      <c r="E286" s="42" t="s">
        <v>119</v>
      </c>
      <c r="F286" s="42"/>
      <c r="G286" s="42" t="s">
        <v>859</v>
      </c>
      <c r="H286" s="41">
        <v>2026</v>
      </c>
      <c r="I286" s="45" t="s">
        <v>860</v>
      </c>
      <c r="J286" s="45"/>
      <c r="K286" s="46">
        <v>1</v>
      </c>
      <c r="L286" s="54">
        <f>150000000/1000</f>
        <v>150000</v>
      </c>
      <c r="M286" s="48">
        <f>+IF(E286="",0,VLOOKUP(E286,[1]Code!J:K,2,0))</f>
        <v>8</v>
      </c>
      <c r="N286" s="49">
        <f t="shared" si="80"/>
        <v>0.125</v>
      </c>
      <c r="O286" s="50">
        <f t="shared" si="81"/>
        <v>0</v>
      </c>
      <c r="P286" s="50">
        <f t="shared" si="82"/>
        <v>0</v>
      </c>
      <c r="Q286" s="50">
        <f t="shared" si="83"/>
        <v>0</v>
      </c>
      <c r="R286" s="50">
        <f t="shared" si="84"/>
        <v>0</v>
      </c>
      <c r="S286" s="50">
        <f t="shared" si="85"/>
        <v>0</v>
      </c>
      <c r="T286" s="50">
        <f t="shared" si="86"/>
        <v>0</v>
      </c>
      <c r="U286" s="50">
        <f t="shared" si="87"/>
        <v>0</v>
      </c>
      <c r="V286" s="50">
        <f t="shared" si="88"/>
        <v>0</v>
      </c>
      <c r="W286" s="50">
        <f t="shared" si="89"/>
        <v>0</v>
      </c>
      <c r="X286" s="50">
        <f t="shared" si="90"/>
        <v>0</v>
      </c>
      <c r="Y286" s="50">
        <f t="shared" si="91"/>
        <v>150000</v>
      </c>
      <c r="Z286" s="50">
        <f t="shared" si="92"/>
        <v>18750</v>
      </c>
      <c r="AA286" s="50">
        <f t="shared" si="93"/>
        <v>131250</v>
      </c>
      <c r="AB286" s="50">
        <f t="shared" si="94"/>
        <v>18750</v>
      </c>
      <c r="AC286" s="50">
        <f t="shared" si="95"/>
        <v>112500</v>
      </c>
      <c r="AD286" s="50">
        <f t="shared" si="96"/>
        <v>18750</v>
      </c>
      <c r="AE286" s="50">
        <f t="shared" si="97"/>
        <v>93750</v>
      </c>
      <c r="AF286" s="50">
        <f t="shared" si="98"/>
        <v>18750</v>
      </c>
      <c r="AG286" s="51" t="str">
        <f t="shared" si="99"/>
        <v>5 MACHINERY,UTILITIES</v>
      </c>
      <c r="AI286" s="1" t="s">
        <v>862</v>
      </c>
      <c r="AJ286" s="1" t="s">
        <v>863</v>
      </c>
    </row>
    <row r="287" spans="1:36" ht="15.95" customHeight="1">
      <c r="A287" s="41" t="s">
        <v>870</v>
      </c>
      <c r="B287" s="42" t="s">
        <v>856</v>
      </c>
      <c r="C287" s="140" t="s">
        <v>857</v>
      </c>
      <c r="D287" s="140" t="s">
        <v>871</v>
      </c>
      <c r="E287" s="42" t="s">
        <v>119</v>
      </c>
      <c r="F287" s="42"/>
      <c r="G287" s="42" t="s">
        <v>859</v>
      </c>
      <c r="H287" s="41">
        <v>2026</v>
      </c>
      <c r="I287" s="45" t="s">
        <v>860</v>
      </c>
      <c r="J287" s="45"/>
      <c r="K287" s="46">
        <v>1</v>
      </c>
      <c r="L287" s="54">
        <f>90000000/1000</f>
        <v>90000</v>
      </c>
      <c r="M287" s="48">
        <f>+IF(E287="",0,VLOOKUP(E287,[1]Code!J:K,2,0))</f>
        <v>8</v>
      </c>
      <c r="N287" s="49">
        <f t="shared" si="80"/>
        <v>0.125</v>
      </c>
      <c r="O287" s="50">
        <f t="shared" si="81"/>
        <v>0</v>
      </c>
      <c r="P287" s="50">
        <f t="shared" si="82"/>
        <v>0</v>
      </c>
      <c r="Q287" s="50">
        <f t="shared" si="83"/>
        <v>0</v>
      </c>
      <c r="R287" s="50">
        <f t="shared" si="84"/>
        <v>0</v>
      </c>
      <c r="S287" s="50">
        <f t="shared" si="85"/>
        <v>0</v>
      </c>
      <c r="T287" s="50">
        <f t="shared" si="86"/>
        <v>0</v>
      </c>
      <c r="U287" s="50">
        <f t="shared" si="87"/>
        <v>0</v>
      </c>
      <c r="V287" s="50">
        <f t="shared" si="88"/>
        <v>0</v>
      </c>
      <c r="W287" s="50">
        <f t="shared" si="89"/>
        <v>0</v>
      </c>
      <c r="X287" s="50">
        <f t="shared" si="90"/>
        <v>0</v>
      </c>
      <c r="Y287" s="50">
        <f t="shared" si="91"/>
        <v>90000</v>
      </c>
      <c r="Z287" s="50">
        <f t="shared" si="92"/>
        <v>11250</v>
      </c>
      <c r="AA287" s="50">
        <f t="shared" si="93"/>
        <v>78750</v>
      </c>
      <c r="AB287" s="50">
        <f t="shared" si="94"/>
        <v>11250</v>
      </c>
      <c r="AC287" s="50">
        <f t="shared" si="95"/>
        <v>67500</v>
      </c>
      <c r="AD287" s="50">
        <f t="shared" si="96"/>
        <v>11250</v>
      </c>
      <c r="AE287" s="50">
        <f t="shared" si="97"/>
        <v>56250</v>
      </c>
      <c r="AF287" s="50">
        <f t="shared" si="98"/>
        <v>11250</v>
      </c>
      <c r="AG287" s="51" t="str">
        <f t="shared" si="99"/>
        <v>5 MACHINERY,UTILITIES</v>
      </c>
      <c r="AI287" s="1" t="s">
        <v>862</v>
      </c>
      <c r="AJ287" s="1" t="s">
        <v>863</v>
      </c>
    </row>
    <row r="288" spans="1:36" ht="15.95" customHeight="1">
      <c r="A288" s="41" t="s">
        <v>872</v>
      </c>
      <c r="B288" s="42" t="s">
        <v>856</v>
      </c>
      <c r="C288" s="140" t="s">
        <v>857</v>
      </c>
      <c r="D288" s="140" t="s">
        <v>873</v>
      </c>
      <c r="E288" s="42" t="s">
        <v>119</v>
      </c>
      <c r="F288" s="42"/>
      <c r="G288" s="42" t="s">
        <v>859</v>
      </c>
      <c r="H288" s="41">
        <v>2026</v>
      </c>
      <c r="I288" s="45" t="s">
        <v>279</v>
      </c>
      <c r="J288" s="45"/>
      <c r="K288" s="46">
        <v>1</v>
      </c>
      <c r="L288" s="54">
        <f>40000000/1000</f>
        <v>40000</v>
      </c>
      <c r="M288" s="48">
        <f>+IF(E288="",0,VLOOKUP(E288,[1]Code!J:K,2,0))</f>
        <v>8</v>
      </c>
      <c r="N288" s="49">
        <f t="shared" si="80"/>
        <v>0.125</v>
      </c>
      <c r="O288" s="50">
        <f t="shared" si="81"/>
        <v>0</v>
      </c>
      <c r="P288" s="50">
        <f t="shared" si="82"/>
        <v>0</v>
      </c>
      <c r="Q288" s="50">
        <f t="shared" si="83"/>
        <v>0</v>
      </c>
      <c r="R288" s="50">
        <f t="shared" si="84"/>
        <v>0</v>
      </c>
      <c r="S288" s="50">
        <f t="shared" si="85"/>
        <v>0</v>
      </c>
      <c r="T288" s="50">
        <f t="shared" si="86"/>
        <v>0</v>
      </c>
      <c r="U288" s="50">
        <f t="shared" si="87"/>
        <v>0</v>
      </c>
      <c r="V288" s="50">
        <f t="shared" si="88"/>
        <v>0</v>
      </c>
      <c r="W288" s="50">
        <f t="shared" si="89"/>
        <v>0</v>
      </c>
      <c r="X288" s="50">
        <f t="shared" si="90"/>
        <v>0</v>
      </c>
      <c r="Y288" s="50">
        <f t="shared" si="91"/>
        <v>40000</v>
      </c>
      <c r="Z288" s="50">
        <f t="shared" si="92"/>
        <v>5000</v>
      </c>
      <c r="AA288" s="50">
        <f t="shared" si="93"/>
        <v>35000</v>
      </c>
      <c r="AB288" s="50">
        <f t="shared" si="94"/>
        <v>5000</v>
      </c>
      <c r="AC288" s="50">
        <f t="shared" si="95"/>
        <v>30000</v>
      </c>
      <c r="AD288" s="50">
        <f t="shared" si="96"/>
        <v>5000</v>
      </c>
      <c r="AE288" s="50">
        <f t="shared" si="97"/>
        <v>25000</v>
      </c>
      <c r="AF288" s="50">
        <f t="shared" si="98"/>
        <v>5000</v>
      </c>
      <c r="AG288" s="51" t="str">
        <f t="shared" si="99"/>
        <v>5 MACHINERY,UTILITIES</v>
      </c>
      <c r="AI288" s="1" t="s">
        <v>862</v>
      </c>
      <c r="AJ288" s="1" t="s">
        <v>863</v>
      </c>
    </row>
    <row r="289" spans="1:36" ht="15.95" customHeight="1">
      <c r="A289" s="142" t="s">
        <v>874</v>
      </c>
      <c r="B289" s="42" t="s">
        <v>856</v>
      </c>
      <c r="C289" s="143" t="s">
        <v>875</v>
      </c>
      <c r="D289" s="141" t="s">
        <v>876</v>
      </c>
      <c r="E289" s="42" t="s">
        <v>119</v>
      </c>
      <c r="F289" s="42"/>
      <c r="G289" s="42" t="s">
        <v>859</v>
      </c>
      <c r="H289" s="41">
        <v>2026</v>
      </c>
      <c r="I289" s="45" t="s">
        <v>228</v>
      </c>
      <c r="J289" s="45"/>
      <c r="K289" s="46" t="s">
        <v>877</v>
      </c>
      <c r="L289" s="54">
        <f>15000+500+1500+12500</f>
        <v>29500</v>
      </c>
      <c r="M289" s="48">
        <f>+IF(E289="",0,VLOOKUP(E289,[1]Code!J:K,2,0))</f>
        <v>8</v>
      </c>
      <c r="N289" s="49">
        <f t="shared" si="80"/>
        <v>0.125</v>
      </c>
      <c r="O289" s="50">
        <f t="shared" si="81"/>
        <v>0</v>
      </c>
      <c r="P289" s="50">
        <f t="shared" si="82"/>
        <v>0</v>
      </c>
      <c r="Q289" s="50">
        <f t="shared" si="83"/>
        <v>0</v>
      </c>
      <c r="R289" s="50">
        <f t="shared" si="84"/>
        <v>0</v>
      </c>
      <c r="S289" s="50">
        <f t="shared" si="85"/>
        <v>0</v>
      </c>
      <c r="T289" s="50">
        <f t="shared" si="86"/>
        <v>0</v>
      </c>
      <c r="U289" s="50">
        <f t="shared" si="87"/>
        <v>0</v>
      </c>
      <c r="V289" s="50">
        <f t="shared" si="88"/>
        <v>0</v>
      </c>
      <c r="W289" s="50">
        <f t="shared" si="89"/>
        <v>0</v>
      </c>
      <c r="X289" s="50">
        <f t="shared" si="90"/>
        <v>0</v>
      </c>
      <c r="Y289" s="50">
        <f t="shared" si="91"/>
        <v>29500</v>
      </c>
      <c r="Z289" s="50">
        <f t="shared" si="92"/>
        <v>3687.5</v>
      </c>
      <c r="AA289" s="50">
        <f t="shared" si="93"/>
        <v>25812.5</v>
      </c>
      <c r="AB289" s="50">
        <f t="shared" si="94"/>
        <v>3687.5</v>
      </c>
      <c r="AC289" s="50">
        <f t="shared" si="95"/>
        <v>22125</v>
      </c>
      <c r="AD289" s="50">
        <f t="shared" si="96"/>
        <v>3687.5</v>
      </c>
      <c r="AE289" s="50">
        <f t="shared" si="97"/>
        <v>18437.5</v>
      </c>
      <c r="AF289" s="50">
        <f t="shared" si="98"/>
        <v>3687.5</v>
      </c>
      <c r="AG289" s="51" t="str">
        <f t="shared" si="99"/>
        <v>5 MACHINERY,UTILITIES</v>
      </c>
      <c r="AI289" s="1" t="s">
        <v>862</v>
      </c>
      <c r="AJ289" s="1" t="s">
        <v>863</v>
      </c>
    </row>
    <row r="290" spans="1:36" ht="15.95" customHeight="1">
      <c r="A290" s="142" t="s">
        <v>874</v>
      </c>
      <c r="B290" s="42" t="s">
        <v>856</v>
      </c>
      <c r="C290" s="144"/>
      <c r="D290" s="55" t="s">
        <v>878</v>
      </c>
      <c r="E290" s="42" t="s">
        <v>119</v>
      </c>
      <c r="F290" s="42"/>
      <c r="G290" s="42" t="s">
        <v>859</v>
      </c>
      <c r="H290" s="41">
        <v>2026</v>
      </c>
      <c r="I290" s="45" t="s">
        <v>879</v>
      </c>
      <c r="J290" s="45"/>
      <c r="K290" s="46">
        <v>1</v>
      </c>
      <c r="L290" s="54">
        <f>1000000/1000</f>
        <v>1000</v>
      </c>
      <c r="M290" s="48">
        <f>+IF(E290="",0,VLOOKUP(E290,[1]Code!J:K,2,0))</f>
        <v>8</v>
      </c>
      <c r="N290" s="49">
        <f t="shared" si="80"/>
        <v>0.125</v>
      </c>
      <c r="O290" s="50">
        <f t="shared" si="81"/>
        <v>0</v>
      </c>
      <c r="P290" s="50">
        <f t="shared" si="82"/>
        <v>0</v>
      </c>
      <c r="Q290" s="50">
        <f t="shared" si="83"/>
        <v>0</v>
      </c>
      <c r="R290" s="50">
        <f t="shared" si="84"/>
        <v>0</v>
      </c>
      <c r="S290" s="50">
        <f t="shared" si="85"/>
        <v>0</v>
      </c>
      <c r="T290" s="50">
        <f t="shared" si="86"/>
        <v>0</v>
      </c>
      <c r="U290" s="50">
        <f t="shared" si="87"/>
        <v>0</v>
      </c>
      <c r="V290" s="50">
        <f t="shared" si="88"/>
        <v>0</v>
      </c>
      <c r="W290" s="50">
        <f t="shared" si="89"/>
        <v>0</v>
      </c>
      <c r="X290" s="50">
        <f t="shared" si="90"/>
        <v>0</v>
      </c>
      <c r="Y290" s="50">
        <f t="shared" si="91"/>
        <v>1000</v>
      </c>
      <c r="Z290" s="50">
        <f t="shared" si="92"/>
        <v>125</v>
      </c>
      <c r="AA290" s="50">
        <f t="shared" si="93"/>
        <v>875</v>
      </c>
      <c r="AB290" s="50">
        <f t="shared" si="94"/>
        <v>125</v>
      </c>
      <c r="AC290" s="50">
        <f t="shared" si="95"/>
        <v>750</v>
      </c>
      <c r="AD290" s="50">
        <f t="shared" si="96"/>
        <v>125</v>
      </c>
      <c r="AE290" s="50">
        <f t="shared" si="97"/>
        <v>625</v>
      </c>
      <c r="AF290" s="50">
        <f t="shared" si="98"/>
        <v>125</v>
      </c>
      <c r="AG290" s="51" t="str">
        <f t="shared" si="99"/>
        <v>5 MACHINERY,UTILITIES</v>
      </c>
      <c r="AI290" s="1" t="s">
        <v>862</v>
      </c>
      <c r="AJ290" s="1" t="s">
        <v>863</v>
      </c>
    </row>
    <row r="291" spans="1:36" ht="15.95" customHeight="1">
      <c r="A291" s="145" t="s">
        <v>880</v>
      </c>
      <c r="B291" s="42" t="s">
        <v>856</v>
      </c>
      <c r="C291" s="79" t="s">
        <v>881</v>
      </c>
      <c r="D291" s="55" t="s">
        <v>882</v>
      </c>
      <c r="E291" s="42" t="s">
        <v>52</v>
      </c>
      <c r="F291" s="146">
        <f>2+2+2+2+2+8+1</f>
        <v>19</v>
      </c>
      <c r="G291" s="42" t="s">
        <v>859</v>
      </c>
      <c r="H291" s="41">
        <v>2026</v>
      </c>
      <c r="I291" s="45" t="s">
        <v>879</v>
      </c>
      <c r="J291" s="45"/>
      <c r="K291" s="46">
        <v>18</v>
      </c>
      <c r="L291" s="54">
        <v>3000</v>
      </c>
      <c r="M291" s="48">
        <f>+IF(E291="",0,VLOOKUP(E291,[1]Code!J:K,2,0))</f>
        <v>10</v>
      </c>
      <c r="N291" s="49">
        <f t="shared" si="80"/>
        <v>0.1</v>
      </c>
      <c r="O291" s="50">
        <f t="shared" si="81"/>
        <v>0</v>
      </c>
      <c r="P291" s="50">
        <f t="shared" si="82"/>
        <v>0</v>
      </c>
      <c r="Q291" s="50">
        <f t="shared" si="83"/>
        <v>0</v>
      </c>
      <c r="R291" s="50">
        <f t="shared" si="84"/>
        <v>0</v>
      </c>
      <c r="S291" s="50">
        <f t="shared" si="85"/>
        <v>0</v>
      </c>
      <c r="T291" s="50">
        <f t="shared" si="86"/>
        <v>0</v>
      </c>
      <c r="U291" s="50">
        <f t="shared" si="87"/>
        <v>0</v>
      </c>
      <c r="V291" s="50">
        <f t="shared" si="88"/>
        <v>0</v>
      </c>
      <c r="W291" s="50">
        <f t="shared" si="89"/>
        <v>0</v>
      </c>
      <c r="X291" s="50">
        <f t="shared" si="90"/>
        <v>0</v>
      </c>
      <c r="Y291" s="50">
        <f t="shared" si="91"/>
        <v>3000</v>
      </c>
      <c r="Z291" s="50">
        <f t="shared" si="92"/>
        <v>300</v>
      </c>
      <c r="AA291" s="50">
        <f t="shared" si="93"/>
        <v>2700</v>
      </c>
      <c r="AB291" s="50">
        <f t="shared" si="94"/>
        <v>300</v>
      </c>
      <c r="AC291" s="50">
        <f t="shared" si="95"/>
        <v>2400</v>
      </c>
      <c r="AD291" s="50">
        <f t="shared" si="96"/>
        <v>300</v>
      </c>
      <c r="AE291" s="50">
        <f t="shared" si="97"/>
        <v>2100</v>
      </c>
      <c r="AF291" s="50">
        <f t="shared" si="98"/>
        <v>300</v>
      </c>
      <c r="AG291" s="51" t="str">
        <f t="shared" si="99"/>
        <v>15 VEHICLES19</v>
      </c>
      <c r="AI291" s="1" t="s">
        <v>862</v>
      </c>
      <c r="AJ291" s="1" t="s">
        <v>863</v>
      </c>
    </row>
    <row r="292" spans="1:36" ht="15.95" customHeight="1">
      <c r="A292" s="41" t="s">
        <v>883</v>
      </c>
      <c r="B292" s="42" t="s">
        <v>856</v>
      </c>
      <c r="C292" s="79" t="s">
        <v>875</v>
      </c>
      <c r="D292" s="55" t="s">
        <v>884</v>
      </c>
      <c r="E292" s="42" t="s">
        <v>103</v>
      </c>
      <c r="F292" s="42"/>
      <c r="G292" s="42" t="s">
        <v>859</v>
      </c>
      <c r="H292" s="41">
        <v>2026</v>
      </c>
      <c r="I292" s="45" t="s">
        <v>879</v>
      </c>
      <c r="J292" s="45"/>
      <c r="K292" s="46">
        <v>5</v>
      </c>
      <c r="L292" s="54">
        <v>11000</v>
      </c>
      <c r="M292" s="48">
        <f>+IF(E292="",0,VLOOKUP(E292,[1]Code!J:K,2,0))</f>
        <v>5</v>
      </c>
      <c r="N292" s="49">
        <f t="shared" si="80"/>
        <v>0.2</v>
      </c>
      <c r="O292" s="50">
        <f t="shared" si="81"/>
        <v>0</v>
      </c>
      <c r="P292" s="50">
        <f t="shared" si="82"/>
        <v>0</v>
      </c>
      <c r="Q292" s="50">
        <f t="shared" si="83"/>
        <v>0</v>
      </c>
      <c r="R292" s="50">
        <f t="shared" si="84"/>
        <v>0</v>
      </c>
      <c r="S292" s="50">
        <f t="shared" si="85"/>
        <v>0</v>
      </c>
      <c r="T292" s="50">
        <f t="shared" si="86"/>
        <v>0</v>
      </c>
      <c r="U292" s="50">
        <f t="shared" si="87"/>
        <v>0</v>
      </c>
      <c r="V292" s="50">
        <f t="shared" si="88"/>
        <v>0</v>
      </c>
      <c r="W292" s="50">
        <f t="shared" si="89"/>
        <v>0</v>
      </c>
      <c r="X292" s="50">
        <f t="shared" si="90"/>
        <v>0</v>
      </c>
      <c r="Y292" s="50">
        <f t="shared" si="91"/>
        <v>11000</v>
      </c>
      <c r="Z292" s="50">
        <f t="shared" si="92"/>
        <v>2200</v>
      </c>
      <c r="AA292" s="50">
        <f t="shared" si="93"/>
        <v>8800</v>
      </c>
      <c r="AB292" s="50">
        <f t="shared" si="94"/>
        <v>2200</v>
      </c>
      <c r="AC292" s="50">
        <f t="shared" si="95"/>
        <v>6600</v>
      </c>
      <c r="AD292" s="50">
        <f t="shared" si="96"/>
        <v>2200</v>
      </c>
      <c r="AE292" s="50">
        <f t="shared" si="97"/>
        <v>4400</v>
      </c>
      <c r="AF292" s="50">
        <f t="shared" si="98"/>
        <v>2200</v>
      </c>
      <c r="AG292" s="51" t="str">
        <f t="shared" si="99"/>
        <v>9 TOOLS</v>
      </c>
      <c r="AI292" s="1" t="s">
        <v>862</v>
      </c>
      <c r="AJ292" s="1" t="s">
        <v>863</v>
      </c>
    </row>
    <row r="293" spans="1:36" ht="15.95" customHeight="1">
      <c r="A293" s="145" t="s">
        <v>885</v>
      </c>
      <c r="B293" s="42" t="s">
        <v>856</v>
      </c>
      <c r="C293" s="43" t="s">
        <v>886</v>
      </c>
      <c r="D293" s="55" t="s">
        <v>887</v>
      </c>
      <c r="E293" s="42" t="s">
        <v>119</v>
      </c>
      <c r="F293" s="42"/>
      <c r="G293" s="42" t="s">
        <v>859</v>
      </c>
      <c r="H293" s="41">
        <v>2026</v>
      </c>
      <c r="I293" s="45" t="s">
        <v>860</v>
      </c>
      <c r="J293" s="45"/>
      <c r="K293" s="54">
        <v>1</v>
      </c>
      <c r="L293" s="54">
        <v>960</v>
      </c>
      <c r="M293" s="48">
        <f>+IF(E293="",0,VLOOKUP(E293,[1]Code!J:K,2,0))</f>
        <v>8</v>
      </c>
      <c r="N293" s="49">
        <f t="shared" si="80"/>
        <v>0.125</v>
      </c>
      <c r="O293" s="50">
        <f t="shared" si="81"/>
        <v>0</v>
      </c>
      <c r="P293" s="50">
        <f t="shared" si="82"/>
        <v>0</v>
      </c>
      <c r="Q293" s="50">
        <f t="shared" si="83"/>
        <v>0</v>
      </c>
      <c r="R293" s="50">
        <f t="shared" si="84"/>
        <v>0</v>
      </c>
      <c r="S293" s="50">
        <f t="shared" si="85"/>
        <v>0</v>
      </c>
      <c r="T293" s="50">
        <f t="shared" si="86"/>
        <v>0</v>
      </c>
      <c r="U293" s="50">
        <f t="shared" si="87"/>
        <v>0</v>
      </c>
      <c r="V293" s="50">
        <f t="shared" si="88"/>
        <v>0</v>
      </c>
      <c r="W293" s="50">
        <f t="shared" si="89"/>
        <v>0</v>
      </c>
      <c r="X293" s="50">
        <f t="shared" si="90"/>
        <v>0</v>
      </c>
      <c r="Y293" s="50">
        <f t="shared" si="91"/>
        <v>960</v>
      </c>
      <c r="Z293" s="50">
        <f t="shared" si="92"/>
        <v>120</v>
      </c>
      <c r="AA293" s="50">
        <f t="shared" si="93"/>
        <v>840</v>
      </c>
      <c r="AB293" s="50">
        <f t="shared" si="94"/>
        <v>120</v>
      </c>
      <c r="AC293" s="50">
        <f t="shared" si="95"/>
        <v>720</v>
      </c>
      <c r="AD293" s="50">
        <f t="shared" si="96"/>
        <v>120</v>
      </c>
      <c r="AE293" s="50">
        <f t="shared" si="97"/>
        <v>600</v>
      </c>
      <c r="AF293" s="50">
        <f t="shared" si="98"/>
        <v>120</v>
      </c>
      <c r="AG293" s="51" t="str">
        <f t="shared" si="99"/>
        <v>5 MACHINERY,UTILITIES</v>
      </c>
      <c r="AI293" s="1" t="s">
        <v>862</v>
      </c>
      <c r="AJ293" s="1" t="s">
        <v>863</v>
      </c>
    </row>
    <row r="294" spans="1:36" ht="15.95" customHeight="1">
      <c r="A294" s="145" t="s">
        <v>888</v>
      </c>
      <c r="B294" s="42" t="s">
        <v>856</v>
      </c>
      <c r="C294" s="43" t="s">
        <v>889</v>
      </c>
      <c r="D294" s="61" t="s">
        <v>890</v>
      </c>
      <c r="E294" s="42" t="s">
        <v>119</v>
      </c>
      <c r="F294" s="42"/>
      <c r="G294" s="42" t="s">
        <v>859</v>
      </c>
      <c r="H294" s="41">
        <v>2026</v>
      </c>
      <c r="I294" s="45" t="s">
        <v>860</v>
      </c>
      <c r="J294" s="45"/>
      <c r="K294" s="54">
        <v>1</v>
      </c>
      <c r="L294" s="54">
        <v>2000</v>
      </c>
      <c r="M294" s="48">
        <f>+IF(E294="",0,VLOOKUP(E294,[1]Code!J:K,2,0))</f>
        <v>8</v>
      </c>
      <c r="N294" s="49">
        <f t="shared" si="80"/>
        <v>0.125</v>
      </c>
      <c r="O294" s="50">
        <f t="shared" si="81"/>
        <v>0</v>
      </c>
      <c r="P294" s="50">
        <f t="shared" si="82"/>
        <v>0</v>
      </c>
      <c r="Q294" s="50">
        <f t="shared" si="83"/>
        <v>0</v>
      </c>
      <c r="R294" s="50">
        <f t="shared" si="84"/>
        <v>0</v>
      </c>
      <c r="S294" s="50">
        <f t="shared" si="85"/>
        <v>0</v>
      </c>
      <c r="T294" s="50">
        <f t="shared" si="86"/>
        <v>0</v>
      </c>
      <c r="U294" s="50">
        <f t="shared" si="87"/>
        <v>0</v>
      </c>
      <c r="V294" s="50">
        <f t="shared" si="88"/>
        <v>0</v>
      </c>
      <c r="W294" s="50">
        <f t="shared" si="89"/>
        <v>0</v>
      </c>
      <c r="X294" s="50">
        <f t="shared" si="90"/>
        <v>0</v>
      </c>
      <c r="Y294" s="50">
        <f t="shared" si="91"/>
        <v>2000</v>
      </c>
      <c r="Z294" s="50">
        <f t="shared" si="92"/>
        <v>250</v>
      </c>
      <c r="AA294" s="50">
        <f t="shared" si="93"/>
        <v>1750</v>
      </c>
      <c r="AB294" s="50">
        <f t="shared" si="94"/>
        <v>250</v>
      </c>
      <c r="AC294" s="50">
        <f t="shared" si="95"/>
        <v>1500</v>
      </c>
      <c r="AD294" s="50">
        <f t="shared" si="96"/>
        <v>250</v>
      </c>
      <c r="AE294" s="50">
        <f t="shared" si="97"/>
        <v>1250</v>
      </c>
      <c r="AF294" s="50">
        <f t="shared" si="98"/>
        <v>250</v>
      </c>
      <c r="AG294" s="51" t="str">
        <f t="shared" si="99"/>
        <v>5 MACHINERY,UTILITIES</v>
      </c>
      <c r="AI294" s="1" t="s">
        <v>862</v>
      </c>
      <c r="AJ294" s="1" t="s">
        <v>863</v>
      </c>
    </row>
    <row r="295" spans="1:36" ht="15.95" customHeight="1">
      <c r="A295" s="145" t="s">
        <v>891</v>
      </c>
      <c r="B295" s="42" t="s">
        <v>856</v>
      </c>
      <c r="C295" s="43" t="s">
        <v>889</v>
      </c>
      <c r="D295" s="61" t="s">
        <v>892</v>
      </c>
      <c r="E295" s="42" t="s">
        <v>119</v>
      </c>
      <c r="F295" s="42"/>
      <c r="G295" s="42" t="s">
        <v>859</v>
      </c>
      <c r="H295" s="41">
        <v>2026</v>
      </c>
      <c r="I295" s="45" t="s">
        <v>860</v>
      </c>
      <c r="J295" s="45"/>
      <c r="K295" s="54">
        <v>1</v>
      </c>
      <c r="L295" s="54">
        <v>700</v>
      </c>
      <c r="M295" s="48">
        <f>+IF(E295="",0,VLOOKUP(E295,[1]Code!J:K,2,0))</f>
        <v>8</v>
      </c>
      <c r="N295" s="49">
        <f t="shared" si="80"/>
        <v>0.125</v>
      </c>
      <c r="O295" s="50">
        <f t="shared" si="81"/>
        <v>0</v>
      </c>
      <c r="P295" s="50">
        <f t="shared" si="82"/>
        <v>0</v>
      </c>
      <c r="Q295" s="50">
        <f t="shared" si="83"/>
        <v>0</v>
      </c>
      <c r="R295" s="50">
        <f t="shared" si="84"/>
        <v>0</v>
      </c>
      <c r="S295" s="50">
        <f t="shared" si="85"/>
        <v>0</v>
      </c>
      <c r="T295" s="50">
        <f t="shared" si="86"/>
        <v>0</v>
      </c>
      <c r="U295" s="50">
        <f t="shared" si="87"/>
        <v>0</v>
      </c>
      <c r="V295" s="50">
        <f t="shared" si="88"/>
        <v>0</v>
      </c>
      <c r="W295" s="50">
        <f t="shared" si="89"/>
        <v>0</v>
      </c>
      <c r="X295" s="50">
        <f t="shared" si="90"/>
        <v>0</v>
      </c>
      <c r="Y295" s="50">
        <f t="shared" si="91"/>
        <v>700</v>
      </c>
      <c r="Z295" s="50">
        <f t="shared" si="92"/>
        <v>87.5</v>
      </c>
      <c r="AA295" s="50">
        <f t="shared" si="93"/>
        <v>612.5</v>
      </c>
      <c r="AB295" s="50">
        <f t="shared" si="94"/>
        <v>87.5</v>
      </c>
      <c r="AC295" s="50">
        <f t="shared" si="95"/>
        <v>525</v>
      </c>
      <c r="AD295" s="50">
        <f t="shared" si="96"/>
        <v>87.5</v>
      </c>
      <c r="AE295" s="50">
        <f t="shared" si="97"/>
        <v>437.5</v>
      </c>
      <c r="AF295" s="50">
        <f t="shared" si="98"/>
        <v>87.5</v>
      </c>
      <c r="AG295" s="51" t="str">
        <f t="shared" si="99"/>
        <v>5 MACHINERY,UTILITIES</v>
      </c>
      <c r="AI295" s="1" t="s">
        <v>862</v>
      </c>
      <c r="AJ295" s="1" t="s">
        <v>863</v>
      </c>
    </row>
    <row r="296" spans="1:36" ht="15.95" customHeight="1">
      <c r="A296" s="145" t="s">
        <v>893</v>
      </c>
      <c r="B296" s="84" t="s">
        <v>304</v>
      </c>
      <c r="C296" s="43" t="s">
        <v>894</v>
      </c>
      <c r="D296" s="52" t="s">
        <v>895</v>
      </c>
      <c r="E296" s="42" t="s">
        <v>71</v>
      </c>
      <c r="F296" s="42"/>
      <c r="G296" s="42" t="s">
        <v>859</v>
      </c>
      <c r="H296" s="41">
        <v>2026</v>
      </c>
      <c r="I296" s="45" t="s">
        <v>860</v>
      </c>
      <c r="J296" s="45"/>
      <c r="K296" s="54">
        <v>1</v>
      </c>
      <c r="L296" s="54">
        <v>800</v>
      </c>
      <c r="M296" s="48">
        <f>+IF(E296="",0,VLOOKUP(E296,[1]Code!J:K,2,0))</f>
        <v>6</v>
      </c>
      <c r="N296" s="49">
        <f t="shared" si="80"/>
        <v>0.16666666666666666</v>
      </c>
      <c r="O296" s="50">
        <f t="shared" si="81"/>
        <v>0</v>
      </c>
      <c r="P296" s="50">
        <f t="shared" si="82"/>
        <v>0</v>
      </c>
      <c r="Q296" s="50">
        <f t="shared" si="83"/>
        <v>0</v>
      </c>
      <c r="R296" s="50">
        <f t="shared" si="84"/>
        <v>0</v>
      </c>
      <c r="S296" s="50">
        <f t="shared" si="85"/>
        <v>0</v>
      </c>
      <c r="T296" s="50">
        <f t="shared" si="86"/>
        <v>0</v>
      </c>
      <c r="U296" s="50">
        <f t="shared" si="87"/>
        <v>0</v>
      </c>
      <c r="V296" s="50">
        <f t="shared" si="88"/>
        <v>0</v>
      </c>
      <c r="W296" s="50">
        <f t="shared" si="89"/>
        <v>0</v>
      </c>
      <c r="X296" s="50">
        <f t="shared" si="90"/>
        <v>0</v>
      </c>
      <c r="Y296" s="50">
        <f t="shared" si="91"/>
        <v>800</v>
      </c>
      <c r="Z296" s="50">
        <f t="shared" si="92"/>
        <v>133.333</v>
      </c>
      <c r="AA296" s="50">
        <f t="shared" si="93"/>
        <v>666.66700000000003</v>
      </c>
      <c r="AB296" s="50">
        <f t="shared" si="94"/>
        <v>133.333</v>
      </c>
      <c r="AC296" s="50">
        <f t="shared" si="95"/>
        <v>533.33400000000006</v>
      </c>
      <c r="AD296" s="50">
        <f t="shared" si="96"/>
        <v>133.333</v>
      </c>
      <c r="AE296" s="50">
        <f t="shared" si="97"/>
        <v>400.00100000000009</v>
      </c>
      <c r="AF296" s="50">
        <f t="shared" si="98"/>
        <v>133.333</v>
      </c>
      <c r="AG296" s="51" t="str">
        <f t="shared" si="99"/>
        <v>13 INTANGIBLE ASSETS</v>
      </c>
      <c r="AI296" s="1" t="s">
        <v>862</v>
      </c>
      <c r="AJ296" s="1" t="s">
        <v>863</v>
      </c>
    </row>
    <row r="297" spans="1:36" ht="15.95" customHeight="1">
      <c r="A297" s="145" t="s">
        <v>896</v>
      </c>
      <c r="B297" s="84" t="s">
        <v>304</v>
      </c>
      <c r="C297" s="43" t="s">
        <v>897</v>
      </c>
      <c r="D297" s="52" t="s">
        <v>898</v>
      </c>
      <c r="E297" s="42" t="s">
        <v>71</v>
      </c>
      <c r="F297" s="42"/>
      <c r="G297" s="42" t="s">
        <v>859</v>
      </c>
      <c r="H297" s="41">
        <v>2026</v>
      </c>
      <c r="I297" s="45" t="s">
        <v>860</v>
      </c>
      <c r="J297" s="45"/>
      <c r="K297" s="54">
        <v>1</v>
      </c>
      <c r="L297" s="54">
        <v>10000</v>
      </c>
      <c r="M297" s="48">
        <f>+IF(E297="",0,VLOOKUP(E297,[1]Code!J:K,2,0))</f>
        <v>6</v>
      </c>
      <c r="N297" s="49">
        <f t="shared" si="80"/>
        <v>0.16666666666666666</v>
      </c>
      <c r="O297" s="50">
        <f t="shared" si="81"/>
        <v>0</v>
      </c>
      <c r="P297" s="50">
        <f t="shared" si="82"/>
        <v>0</v>
      </c>
      <c r="Q297" s="50">
        <f t="shared" si="83"/>
        <v>0</v>
      </c>
      <c r="R297" s="50">
        <f t="shared" si="84"/>
        <v>0</v>
      </c>
      <c r="S297" s="50">
        <f t="shared" si="85"/>
        <v>0</v>
      </c>
      <c r="T297" s="50">
        <f t="shared" si="86"/>
        <v>0</v>
      </c>
      <c r="U297" s="50">
        <f t="shared" si="87"/>
        <v>0</v>
      </c>
      <c r="V297" s="50">
        <f t="shared" si="88"/>
        <v>0</v>
      </c>
      <c r="W297" s="50">
        <f t="shared" si="89"/>
        <v>0</v>
      </c>
      <c r="X297" s="50">
        <f t="shared" si="90"/>
        <v>0</v>
      </c>
      <c r="Y297" s="50">
        <f t="shared" si="91"/>
        <v>10000</v>
      </c>
      <c r="Z297" s="50">
        <f t="shared" si="92"/>
        <v>1666.6669999999999</v>
      </c>
      <c r="AA297" s="50">
        <f t="shared" si="93"/>
        <v>8333.3330000000005</v>
      </c>
      <c r="AB297" s="50">
        <f t="shared" si="94"/>
        <v>1666.6669999999999</v>
      </c>
      <c r="AC297" s="50">
        <f t="shared" si="95"/>
        <v>6666.6660000000011</v>
      </c>
      <c r="AD297" s="50">
        <f t="shared" si="96"/>
        <v>1666.6669999999999</v>
      </c>
      <c r="AE297" s="50">
        <f t="shared" si="97"/>
        <v>4999.9990000000016</v>
      </c>
      <c r="AF297" s="50">
        <f t="shared" si="98"/>
        <v>1666.6669999999999</v>
      </c>
      <c r="AG297" s="51" t="str">
        <f t="shared" si="99"/>
        <v>13 INTANGIBLE ASSETS</v>
      </c>
      <c r="AI297" s="1" t="s">
        <v>862</v>
      </c>
      <c r="AJ297" s="1" t="s">
        <v>863</v>
      </c>
    </row>
    <row r="298" spans="1:36" ht="15.95" customHeight="1">
      <c r="A298" s="41" t="s">
        <v>899</v>
      </c>
      <c r="B298" s="42" t="s">
        <v>212</v>
      </c>
      <c r="C298" s="140" t="s">
        <v>900</v>
      </c>
      <c r="D298" s="141" t="s">
        <v>901</v>
      </c>
      <c r="E298" s="42" t="s">
        <v>52</v>
      </c>
      <c r="F298" s="42" t="s">
        <v>354</v>
      </c>
      <c r="G298" s="42" t="s">
        <v>902</v>
      </c>
      <c r="H298" s="41">
        <v>2026</v>
      </c>
      <c r="I298" s="45" t="s">
        <v>903</v>
      </c>
      <c r="J298" s="45"/>
      <c r="K298" s="46">
        <v>20</v>
      </c>
      <c r="L298" s="54">
        <v>2500</v>
      </c>
      <c r="M298" s="48">
        <f>+IF(E298="",0,VLOOKUP(E298,[1]Code!J:K,2,0))</f>
        <v>10</v>
      </c>
      <c r="N298" s="49">
        <f t="shared" si="80"/>
        <v>0.1</v>
      </c>
      <c r="O298" s="50">
        <f t="shared" si="81"/>
        <v>0</v>
      </c>
      <c r="P298" s="50">
        <f t="shared" si="82"/>
        <v>0</v>
      </c>
      <c r="Q298" s="50">
        <f t="shared" si="83"/>
        <v>0</v>
      </c>
      <c r="R298" s="50">
        <f t="shared" si="84"/>
        <v>0</v>
      </c>
      <c r="S298" s="50">
        <f t="shared" si="85"/>
        <v>0</v>
      </c>
      <c r="T298" s="50">
        <f t="shared" si="86"/>
        <v>0</v>
      </c>
      <c r="U298" s="50">
        <f t="shared" si="87"/>
        <v>0</v>
      </c>
      <c r="V298" s="50">
        <f t="shared" si="88"/>
        <v>0</v>
      </c>
      <c r="W298" s="50">
        <f t="shared" si="89"/>
        <v>0</v>
      </c>
      <c r="X298" s="50">
        <f t="shared" si="90"/>
        <v>0</v>
      </c>
      <c r="Y298" s="50">
        <f t="shared" si="91"/>
        <v>2500</v>
      </c>
      <c r="Z298" s="50">
        <f t="shared" si="92"/>
        <v>250</v>
      </c>
      <c r="AA298" s="50">
        <f t="shared" si="93"/>
        <v>2250</v>
      </c>
      <c r="AB298" s="50">
        <f t="shared" si="94"/>
        <v>250</v>
      </c>
      <c r="AC298" s="50">
        <f t="shared" si="95"/>
        <v>2000</v>
      </c>
      <c r="AD298" s="50">
        <f t="shared" si="96"/>
        <v>250</v>
      </c>
      <c r="AE298" s="50">
        <f t="shared" si="97"/>
        <v>1750</v>
      </c>
      <c r="AF298" s="50">
        <f t="shared" si="98"/>
        <v>250</v>
      </c>
      <c r="AG298" s="51" t="str">
        <f t="shared" si="99"/>
        <v>15 VEHICLESCommon model</v>
      </c>
      <c r="AI298" s="1" t="s">
        <v>862</v>
      </c>
      <c r="AJ298" s="1" t="s">
        <v>863</v>
      </c>
    </row>
    <row r="299" spans="1:36" ht="15.95" customHeight="1">
      <c r="A299" s="41" t="s">
        <v>904</v>
      </c>
      <c r="B299" s="42" t="s">
        <v>212</v>
      </c>
      <c r="C299" s="140" t="s">
        <v>905</v>
      </c>
      <c r="D299" s="147" t="s">
        <v>906</v>
      </c>
      <c r="E299" s="42" t="s">
        <v>103</v>
      </c>
      <c r="F299" s="42" t="s">
        <v>354</v>
      </c>
      <c r="G299" s="42" t="s">
        <v>902</v>
      </c>
      <c r="H299" s="41">
        <v>2026</v>
      </c>
      <c r="I299" s="45" t="s">
        <v>903</v>
      </c>
      <c r="J299" s="45"/>
      <c r="K299" s="46">
        <v>10</v>
      </c>
      <c r="L299" s="54">
        <v>1000</v>
      </c>
      <c r="M299" s="48">
        <f>+IF(E299="",0,VLOOKUP(E299,[1]Code!J:K,2,0))</f>
        <v>5</v>
      </c>
      <c r="N299" s="49">
        <f t="shared" si="80"/>
        <v>0.2</v>
      </c>
      <c r="O299" s="50">
        <f t="shared" si="81"/>
        <v>0</v>
      </c>
      <c r="P299" s="50">
        <f t="shared" si="82"/>
        <v>0</v>
      </c>
      <c r="Q299" s="50">
        <f t="shared" si="83"/>
        <v>0</v>
      </c>
      <c r="R299" s="50">
        <f t="shared" si="84"/>
        <v>0</v>
      </c>
      <c r="S299" s="50">
        <f t="shared" si="85"/>
        <v>0</v>
      </c>
      <c r="T299" s="50">
        <f t="shared" si="86"/>
        <v>0</v>
      </c>
      <c r="U299" s="50">
        <f t="shared" si="87"/>
        <v>0</v>
      </c>
      <c r="V299" s="50">
        <f t="shared" si="88"/>
        <v>0</v>
      </c>
      <c r="W299" s="50">
        <f t="shared" si="89"/>
        <v>0</v>
      </c>
      <c r="X299" s="50">
        <f t="shared" si="90"/>
        <v>0</v>
      </c>
      <c r="Y299" s="50">
        <f t="shared" si="91"/>
        <v>1000</v>
      </c>
      <c r="Z299" s="50">
        <f t="shared" si="92"/>
        <v>200</v>
      </c>
      <c r="AA299" s="50">
        <f t="shared" si="93"/>
        <v>800</v>
      </c>
      <c r="AB299" s="50">
        <f t="shared" si="94"/>
        <v>200</v>
      </c>
      <c r="AC299" s="50">
        <f t="shared" si="95"/>
        <v>600</v>
      </c>
      <c r="AD299" s="50">
        <f t="shared" si="96"/>
        <v>200</v>
      </c>
      <c r="AE299" s="50">
        <f t="shared" si="97"/>
        <v>400</v>
      </c>
      <c r="AF299" s="50">
        <f t="shared" si="98"/>
        <v>200</v>
      </c>
      <c r="AG299" s="51" t="str">
        <f t="shared" si="99"/>
        <v>9 TOOLSCommon model</v>
      </c>
      <c r="AI299" s="1" t="s">
        <v>862</v>
      </c>
      <c r="AJ299" s="1" t="s">
        <v>863</v>
      </c>
    </row>
    <row r="300" spans="1:36" ht="15.95" customHeight="1">
      <c r="A300" s="41" t="s">
        <v>907</v>
      </c>
      <c r="B300" s="42" t="s">
        <v>281</v>
      </c>
      <c r="C300" s="140" t="s">
        <v>908</v>
      </c>
      <c r="D300" s="141" t="s">
        <v>909</v>
      </c>
      <c r="E300" s="42" t="s">
        <v>52</v>
      </c>
      <c r="F300" s="42" t="s">
        <v>354</v>
      </c>
      <c r="G300" s="42" t="s">
        <v>902</v>
      </c>
      <c r="H300" s="41">
        <v>2026</v>
      </c>
      <c r="I300" s="45" t="s">
        <v>903</v>
      </c>
      <c r="J300" s="45"/>
      <c r="K300" s="46">
        <v>16</v>
      </c>
      <c r="L300" s="54">
        <v>2550</v>
      </c>
      <c r="M300" s="48">
        <f>+IF(E300="",0,VLOOKUP(E300,[1]Code!J:K,2,0))</f>
        <v>10</v>
      </c>
      <c r="N300" s="49">
        <f t="shared" si="80"/>
        <v>0.1</v>
      </c>
      <c r="O300" s="50">
        <f t="shared" si="81"/>
        <v>0</v>
      </c>
      <c r="P300" s="50">
        <f t="shared" si="82"/>
        <v>0</v>
      </c>
      <c r="Q300" s="50">
        <f t="shared" si="83"/>
        <v>0</v>
      </c>
      <c r="R300" s="50">
        <f t="shared" si="84"/>
        <v>0</v>
      </c>
      <c r="S300" s="50">
        <f t="shared" si="85"/>
        <v>0</v>
      </c>
      <c r="T300" s="50">
        <f t="shared" si="86"/>
        <v>0</v>
      </c>
      <c r="U300" s="50">
        <f t="shared" si="87"/>
        <v>0</v>
      </c>
      <c r="V300" s="50">
        <f t="shared" si="88"/>
        <v>0</v>
      </c>
      <c r="W300" s="50">
        <f t="shared" si="89"/>
        <v>0</v>
      </c>
      <c r="X300" s="50">
        <f t="shared" si="90"/>
        <v>0</v>
      </c>
      <c r="Y300" s="50">
        <f t="shared" si="91"/>
        <v>2550</v>
      </c>
      <c r="Z300" s="50">
        <f t="shared" si="92"/>
        <v>255</v>
      </c>
      <c r="AA300" s="50">
        <f t="shared" si="93"/>
        <v>2295</v>
      </c>
      <c r="AB300" s="50">
        <f t="shared" si="94"/>
        <v>255</v>
      </c>
      <c r="AC300" s="50">
        <f t="shared" si="95"/>
        <v>2040</v>
      </c>
      <c r="AD300" s="50">
        <f t="shared" si="96"/>
        <v>255</v>
      </c>
      <c r="AE300" s="50">
        <f t="shared" si="97"/>
        <v>1785</v>
      </c>
      <c r="AF300" s="50">
        <f t="shared" si="98"/>
        <v>255</v>
      </c>
      <c r="AG300" s="51" t="str">
        <f t="shared" si="99"/>
        <v>15 VEHICLESCommon model</v>
      </c>
      <c r="AI300" s="1" t="s">
        <v>862</v>
      </c>
      <c r="AJ300" s="1" t="s">
        <v>863</v>
      </c>
    </row>
    <row r="301" spans="1:36" ht="15.95" customHeight="1">
      <c r="A301" s="41" t="s">
        <v>910</v>
      </c>
      <c r="B301" s="42" t="s">
        <v>281</v>
      </c>
      <c r="C301" s="140" t="s">
        <v>908</v>
      </c>
      <c r="D301" s="140" t="s">
        <v>911</v>
      </c>
      <c r="E301" s="42" t="s">
        <v>52</v>
      </c>
      <c r="F301" s="42" t="s">
        <v>354</v>
      </c>
      <c r="G301" s="42" t="s">
        <v>902</v>
      </c>
      <c r="H301" s="41">
        <v>2026</v>
      </c>
      <c r="I301" s="45" t="s">
        <v>903</v>
      </c>
      <c r="J301" s="45"/>
      <c r="K301" s="46">
        <v>1</v>
      </c>
      <c r="L301" s="54">
        <v>400</v>
      </c>
      <c r="M301" s="48">
        <f>+IF(E301="",0,VLOOKUP(E301,[1]Code!J:K,2,0))</f>
        <v>10</v>
      </c>
      <c r="N301" s="49">
        <f t="shared" si="80"/>
        <v>0.1</v>
      </c>
      <c r="O301" s="50">
        <f t="shared" si="81"/>
        <v>0</v>
      </c>
      <c r="P301" s="50">
        <f t="shared" si="82"/>
        <v>0</v>
      </c>
      <c r="Q301" s="50">
        <f t="shared" si="83"/>
        <v>0</v>
      </c>
      <c r="R301" s="50">
        <f t="shared" si="84"/>
        <v>0</v>
      </c>
      <c r="S301" s="50">
        <f t="shared" si="85"/>
        <v>0</v>
      </c>
      <c r="T301" s="50">
        <f t="shared" si="86"/>
        <v>0</v>
      </c>
      <c r="U301" s="50">
        <f t="shared" si="87"/>
        <v>0</v>
      </c>
      <c r="V301" s="50">
        <f t="shared" si="88"/>
        <v>0</v>
      </c>
      <c r="W301" s="50">
        <f t="shared" si="89"/>
        <v>0</v>
      </c>
      <c r="X301" s="50">
        <f t="shared" si="90"/>
        <v>0</v>
      </c>
      <c r="Y301" s="50">
        <f t="shared" si="91"/>
        <v>400</v>
      </c>
      <c r="Z301" s="50">
        <f t="shared" si="92"/>
        <v>40</v>
      </c>
      <c r="AA301" s="50">
        <f t="shared" si="93"/>
        <v>360</v>
      </c>
      <c r="AB301" s="50">
        <f t="shared" si="94"/>
        <v>40</v>
      </c>
      <c r="AC301" s="50">
        <f t="shared" si="95"/>
        <v>320</v>
      </c>
      <c r="AD301" s="50">
        <f t="shared" si="96"/>
        <v>40</v>
      </c>
      <c r="AE301" s="50">
        <f t="shared" si="97"/>
        <v>280</v>
      </c>
      <c r="AF301" s="50">
        <f t="shared" si="98"/>
        <v>40</v>
      </c>
      <c r="AG301" s="51" t="str">
        <f t="shared" si="99"/>
        <v>15 VEHICLESCommon model</v>
      </c>
      <c r="AI301" s="1" t="s">
        <v>862</v>
      </c>
      <c r="AJ301" s="1" t="s">
        <v>863</v>
      </c>
    </row>
    <row r="302" spans="1:36" ht="15.95" customHeight="1">
      <c r="A302" s="41" t="s">
        <v>912</v>
      </c>
      <c r="B302" s="42" t="s">
        <v>212</v>
      </c>
      <c r="C302" s="140" t="s">
        <v>319</v>
      </c>
      <c r="D302" s="140" t="s">
        <v>913</v>
      </c>
      <c r="E302" s="42" t="s">
        <v>307</v>
      </c>
      <c r="F302" s="42" t="s">
        <v>354</v>
      </c>
      <c r="G302" s="42" t="s">
        <v>902</v>
      </c>
      <c r="H302" s="41">
        <v>2026</v>
      </c>
      <c r="I302" s="45" t="s">
        <v>903</v>
      </c>
      <c r="J302" s="45"/>
      <c r="K302" s="46">
        <v>1</v>
      </c>
      <c r="L302" s="54">
        <v>2000</v>
      </c>
      <c r="M302" s="48">
        <f>+IF(E302="",0,VLOOKUP(E302,[1]Code!J:K,2,0))</f>
        <v>3</v>
      </c>
      <c r="N302" s="49">
        <f t="shared" si="80"/>
        <v>0.33333333333333331</v>
      </c>
      <c r="O302" s="50">
        <f t="shared" si="81"/>
        <v>0</v>
      </c>
      <c r="P302" s="50">
        <f t="shared" si="82"/>
        <v>0</v>
      </c>
      <c r="Q302" s="50">
        <f t="shared" si="83"/>
        <v>0</v>
      </c>
      <c r="R302" s="50">
        <f t="shared" si="84"/>
        <v>0</v>
      </c>
      <c r="S302" s="50">
        <f t="shared" si="85"/>
        <v>0</v>
      </c>
      <c r="T302" s="50">
        <f t="shared" si="86"/>
        <v>0</v>
      </c>
      <c r="U302" s="50">
        <f t="shared" si="87"/>
        <v>0</v>
      </c>
      <c r="V302" s="50">
        <f t="shared" si="88"/>
        <v>0</v>
      </c>
      <c r="W302" s="50">
        <f t="shared" si="89"/>
        <v>0</v>
      </c>
      <c r="X302" s="50">
        <f t="shared" si="90"/>
        <v>0</v>
      </c>
      <c r="Y302" s="50">
        <f t="shared" si="91"/>
        <v>2000</v>
      </c>
      <c r="Z302" s="50">
        <f t="shared" si="92"/>
        <v>666.66700000000003</v>
      </c>
      <c r="AA302" s="50">
        <f t="shared" si="93"/>
        <v>1333.3330000000001</v>
      </c>
      <c r="AB302" s="50">
        <f t="shared" si="94"/>
        <v>666.66700000000003</v>
      </c>
      <c r="AC302" s="50">
        <f t="shared" si="95"/>
        <v>666.66600000000005</v>
      </c>
      <c r="AD302" s="50">
        <f t="shared" si="96"/>
        <v>666.66700000000003</v>
      </c>
      <c r="AE302" s="50">
        <f t="shared" si="97"/>
        <v>-9.9999999997635314E-4</v>
      </c>
      <c r="AF302" s="50">
        <f t="shared" si="98"/>
        <v>0</v>
      </c>
      <c r="AG302" s="51" t="str">
        <f t="shared" si="99"/>
        <v>11 COMPUTERSCommon model</v>
      </c>
      <c r="AI302" s="1" t="s">
        <v>862</v>
      </c>
      <c r="AJ302" s="1" t="s">
        <v>863</v>
      </c>
    </row>
    <row r="303" spans="1:36" ht="15.95" customHeight="1">
      <c r="A303" s="41" t="s">
        <v>914</v>
      </c>
      <c r="B303" s="42" t="s">
        <v>304</v>
      </c>
      <c r="C303" s="140" t="s">
        <v>915</v>
      </c>
      <c r="D303" s="140" t="s">
        <v>916</v>
      </c>
      <c r="E303" s="42" t="s">
        <v>307</v>
      </c>
      <c r="F303" s="42" t="s">
        <v>72</v>
      </c>
      <c r="G303" s="42" t="s">
        <v>902</v>
      </c>
      <c r="H303" s="41">
        <v>2025</v>
      </c>
      <c r="I303" s="45" t="s">
        <v>903</v>
      </c>
      <c r="J303" s="45"/>
      <c r="K303" s="46">
        <v>2</v>
      </c>
      <c r="L303" s="54">
        <v>5400</v>
      </c>
      <c r="M303" s="48">
        <f>+IF(E303="",0,VLOOKUP(E303,[1]Code!J:K,2,0))</f>
        <v>3</v>
      </c>
      <c r="N303" s="49">
        <f t="shared" si="80"/>
        <v>0.33333333333333331</v>
      </c>
      <c r="O303" s="50">
        <f t="shared" si="81"/>
        <v>0</v>
      </c>
      <c r="P303" s="50">
        <f t="shared" si="82"/>
        <v>0</v>
      </c>
      <c r="Q303" s="50">
        <f t="shared" si="83"/>
        <v>0</v>
      </c>
      <c r="R303" s="50">
        <f t="shared" si="84"/>
        <v>0</v>
      </c>
      <c r="S303" s="50">
        <f t="shared" si="85"/>
        <v>0</v>
      </c>
      <c r="T303" s="50">
        <f t="shared" si="86"/>
        <v>0</v>
      </c>
      <c r="U303" s="50">
        <f t="shared" si="87"/>
        <v>0</v>
      </c>
      <c r="V303" s="50">
        <f t="shared" si="88"/>
        <v>0</v>
      </c>
      <c r="W303" s="50">
        <f t="shared" si="89"/>
        <v>0</v>
      </c>
      <c r="X303" s="50">
        <f t="shared" si="90"/>
        <v>0</v>
      </c>
      <c r="Y303" s="50">
        <f t="shared" si="91"/>
        <v>5400</v>
      </c>
      <c r="Z303" s="50">
        <f t="shared" si="92"/>
        <v>1800</v>
      </c>
      <c r="AA303" s="50">
        <f t="shared" si="93"/>
        <v>3600</v>
      </c>
      <c r="AB303" s="50">
        <f t="shared" si="94"/>
        <v>1800</v>
      </c>
      <c r="AC303" s="50">
        <f t="shared" si="95"/>
        <v>1800</v>
      </c>
      <c r="AD303" s="50">
        <f t="shared" si="96"/>
        <v>1800</v>
      </c>
      <c r="AE303" s="50">
        <f t="shared" si="97"/>
        <v>0</v>
      </c>
      <c r="AF303" s="50">
        <f t="shared" si="98"/>
        <v>0</v>
      </c>
      <c r="AG303" s="51" t="str">
        <f t="shared" si="99"/>
        <v xml:space="preserve">11 COMPUTERSALL </v>
      </c>
      <c r="AI303" s="1" t="s">
        <v>862</v>
      </c>
      <c r="AJ303" s="1" t="s">
        <v>863</v>
      </c>
    </row>
    <row r="304" spans="1:36" ht="15.95" customHeight="1">
      <c r="A304" s="41" t="s">
        <v>917</v>
      </c>
      <c r="B304" s="42" t="s">
        <v>95</v>
      </c>
      <c r="C304" s="60" t="s">
        <v>918</v>
      </c>
      <c r="D304" s="137" t="s">
        <v>919</v>
      </c>
      <c r="E304" s="42" t="s">
        <v>71</v>
      </c>
      <c r="F304" s="42" t="s">
        <v>72</v>
      </c>
      <c r="G304" s="42" t="s">
        <v>920</v>
      </c>
      <c r="H304" s="41">
        <v>2026</v>
      </c>
      <c r="I304" s="45" t="s">
        <v>76</v>
      </c>
      <c r="J304" s="45"/>
      <c r="K304" s="54">
        <v>1</v>
      </c>
      <c r="L304" s="54">
        <v>2000</v>
      </c>
      <c r="M304" s="48">
        <f>+IF(E304="",0,VLOOKUP(E304,[1]Code!J:K,2,0))</f>
        <v>6</v>
      </c>
      <c r="N304" s="49">
        <f t="shared" si="80"/>
        <v>0.16666666666666666</v>
      </c>
      <c r="O304" s="50">
        <f t="shared" si="81"/>
        <v>0</v>
      </c>
      <c r="P304" s="50">
        <f t="shared" si="82"/>
        <v>0</v>
      </c>
      <c r="Q304" s="50">
        <f t="shared" si="83"/>
        <v>0</v>
      </c>
      <c r="R304" s="50">
        <f t="shared" si="84"/>
        <v>0</v>
      </c>
      <c r="S304" s="50">
        <f t="shared" si="85"/>
        <v>0</v>
      </c>
      <c r="T304" s="50">
        <f t="shared" si="86"/>
        <v>0</v>
      </c>
      <c r="U304" s="50">
        <f t="shared" si="87"/>
        <v>0</v>
      </c>
      <c r="V304" s="50">
        <f t="shared" si="88"/>
        <v>0</v>
      </c>
      <c r="W304" s="50">
        <f t="shared" si="89"/>
        <v>0</v>
      </c>
      <c r="X304" s="50">
        <f t="shared" si="90"/>
        <v>0</v>
      </c>
      <c r="Y304" s="50">
        <f t="shared" si="91"/>
        <v>2000</v>
      </c>
      <c r="Z304" s="50">
        <f t="shared" si="92"/>
        <v>333.33300000000003</v>
      </c>
      <c r="AA304" s="50">
        <f t="shared" si="93"/>
        <v>1666.6669999999999</v>
      </c>
      <c r="AB304" s="50">
        <f t="shared" si="94"/>
        <v>333.33300000000003</v>
      </c>
      <c r="AC304" s="50">
        <f t="shared" si="95"/>
        <v>1333.3339999999998</v>
      </c>
      <c r="AD304" s="50">
        <f t="shared" si="96"/>
        <v>333.33300000000003</v>
      </c>
      <c r="AE304" s="50">
        <f t="shared" si="97"/>
        <v>1000.0009999999997</v>
      </c>
      <c r="AF304" s="50">
        <f t="shared" si="98"/>
        <v>333.33300000000003</v>
      </c>
      <c r="AG304" s="51" t="str">
        <f t="shared" si="99"/>
        <v xml:space="preserve">13 INTANGIBLE ASSETSALL </v>
      </c>
      <c r="AI304" s="1">
        <v>8250</v>
      </c>
      <c r="AJ304" s="1" t="s">
        <v>921</v>
      </c>
    </row>
    <row r="305" spans="1:36" ht="15.95" customHeight="1">
      <c r="A305" s="76" t="s">
        <v>922</v>
      </c>
      <c r="B305" s="42" t="s">
        <v>923</v>
      </c>
      <c r="C305" s="60" t="s">
        <v>924</v>
      </c>
      <c r="D305" s="79" t="s">
        <v>925</v>
      </c>
      <c r="E305" s="42" t="s">
        <v>926</v>
      </c>
      <c r="F305" s="42" t="s">
        <v>72</v>
      </c>
      <c r="G305" s="42" t="s">
        <v>927</v>
      </c>
      <c r="H305" s="41"/>
      <c r="I305" s="45"/>
      <c r="J305" s="45"/>
      <c r="K305" s="46"/>
      <c r="L305" s="54">
        <f>207500000/10^3</f>
        <v>207500</v>
      </c>
      <c r="M305" s="48">
        <f>+IF(E305="",0,VLOOKUP(E305,[1]Code!J:K,2,0))</f>
        <v>0</v>
      </c>
      <c r="N305" s="49">
        <f t="shared" si="80"/>
        <v>0</v>
      </c>
      <c r="O305" s="50">
        <f t="shared" si="81"/>
        <v>0</v>
      </c>
      <c r="P305" s="50">
        <f t="shared" si="82"/>
        <v>0</v>
      </c>
      <c r="Q305" s="50">
        <f t="shared" si="83"/>
        <v>0</v>
      </c>
      <c r="R305" s="50">
        <f t="shared" si="84"/>
        <v>0</v>
      </c>
      <c r="S305" s="50">
        <f t="shared" si="85"/>
        <v>0</v>
      </c>
      <c r="T305" s="50">
        <f t="shared" si="86"/>
        <v>0</v>
      </c>
      <c r="U305" s="50">
        <f t="shared" si="87"/>
        <v>0</v>
      </c>
      <c r="V305" s="50">
        <f t="shared" si="88"/>
        <v>0</v>
      </c>
      <c r="W305" s="50">
        <f t="shared" si="89"/>
        <v>0</v>
      </c>
      <c r="X305" s="50">
        <f t="shared" si="90"/>
        <v>0</v>
      </c>
      <c r="Y305" s="50">
        <f t="shared" si="91"/>
        <v>207500</v>
      </c>
      <c r="Z305" s="50">
        <f t="shared" si="92"/>
        <v>0</v>
      </c>
      <c r="AA305" s="50">
        <f t="shared" si="93"/>
        <v>207500</v>
      </c>
      <c r="AB305" s="50">
        <f t="shared" si="94"/>
        <v>0</v>
      </c>
      <c r="AC305" s="50">
        <f t="shared" si="95"/>
        <v>207500</v>
      </c>
      <c r="AD305" s="50">
        <f t="shared" si="96"/>
        <v>0</v>
      </c>
      <c r="AE305" s="50">
        <f t="shared" si="97"/>
        <v>207500</v>
      </c>
      <c r="AF305" s="50">
        <f t="shared" si="98"/>
        <v>0</v>
      </c>
      <c r="AG305" s="51" t="str">
        <f t="shared" si="99"/>
        <v xml:space="preserve">0 LandALL </v>
      </c>
      <c r="AI305" s="1">
        <v>8500</v>
      </c>
      <c r="AJ305" s="1" t="s">
        <v>927</v>
      </c>
    </row>
    <row r="306" spans="1:36" ht="15.95" customHeight="1">
      <c r="A306" s="76" t="s">
        <v>928</v>
      </c>
      <c r="B306" s="42" t="s">
        <v>923</v>
      </c>
      <c r="C306" s="60" t="s">
        <v>924</v>
      </c>
      <c r="D306" s="61" t="s">
        <v>929</v>
      </c>
      <c r="E306" s="42" t="s">
        <v>926</v>
      </c>
      <c r="F306" s="42" t="s">
        <v>72</v>
      </c>
      <c r="G306" s="42" t="s">
        <v>927</v>
      </c>
      <c r="H306" s="41"/>
      <c r="I306" s="45"/>
      <c r="J306" s="45"/>
      <c r="K306" s="46"/>
      <c r="L306" s="54">
        <f>300000/10^3</f>
        <v>300</v>
      </c>
      <c r="M306" s="48">
        <f>+IF(E306="",0,VLOOKUP(E306,[1]Code!J:K,2,0))</f>
        <v>0</v>
      </c>
      <c r="N306" s="49">
        <f t="shared" si="80"/>
        <v>0</v>
      </c>
      <c r="O306" s="50">
        <f t="shared" si="81"/>
        <v>0</v>
      </c>
      <c r="P306" s="50">
        <f t="shared" si="82"/>
        <v>0</v>
      </c>
      <c r="Q306" s="50">
        <f t="shared" si="83"/>
        <v>0</v>
      </c>
      <c r="R306" s="50">
        <f t="shared" si="84"/>
        <v>0</v>
      </c>
      <c r="S306" s="50">
        <f t="shared" si="85"/>
        <v>0</v>
      </c>
      <c r="T306" s="50">
        <f t="shared" si="86"/>
        <v>0</v>
      </c>
      <c r="U306" s="50">
        <f t="shared" si="87"/>
        <v>0</v>
      </c>
      <c r="V306" s="50">
        <f t="shared" si="88"/>
        <v>0</v>
      </c>
      <c r="W306" s="50">
        <f t="shared" si="89"/>
        <v>0</v>
      </c>
      <c r="X306" s="50">
        <f t="shared" si="90"/>
        <v>0</v>
      </c>
      <c r="Y306" s="50">
        <f t="shared" si="91"/>
        <v>300</v>
      </c>
      <c r="Z306" s="50">
        <f t="shared" si="92"/>
        <v>0</v>
      </c>
      <c r="AA306" s="50">
        <f t="shared" si="93"/>
        <v>300</v>
      </c>
      <c r="AB306" s="50">
        <f t="shared" si="94"/>
        <v>0</v>
      </c>
      <c r="AC306" s="50">
        <f t="shared" si="95"/>
        <v>300</v>
      </c>
      <c r="AD306" s="50">
        <f t="shared" si="96"/>
        <v>0</v>
      </c>
      <c r="AE306" s="50">
        <f t="shared" si="97"/>
        <v>300</v>
      </c>
      <c r="AF306" s="50">
        <f t="shared" si="98"/>
        <v>0</v>
      </c>
      <c r="AG306" s="51" t="str">
        <f t="shared" si="99"/>
        <v xml:space="preserve">0 LandALL </v>
      </c>
      <c r="AI306" s="1">
        <v>8500</v>
      </c>
      <c r="AJ306" s="1" t="s">
        <v>927</v>
      </c>
    </row>
    <row r="307" spans="1:36" ht="15.95" customHeight="1">
      <c r="A307" s="76" t="s">
        <v>930</v>
      </c>
      <c r="B307" s="42" t="s">
        <v>923</v>
      </c>
      <c r="C307" s="60" t="s">
        <v>924</v>
      </c>
      <c r="D307" s="137" t="s">
        <v>931</v>
      </c>
      <c r="E307" s="42" t="s">
        <v>926</v>
      </c>
      <c r="F307" s="42" t="s">
        <v>72</v>
      </c>
      <c r="G307" s="42" t="s">
        <v>927</v>
      </c>
      <c r="H307" s="41"/>
      <c r="I307" s="45"/>
      <c r="J307" s="45"/>
      <c r="K307" s="46"/>
      <c r="L307" s="54">
        <f>200000/10^3</f>
        <v>200</v>
      </c>
      <c r="M307" s="48">
        <f>+IF(E307="",0,VLOOKUP(E307,[1]Code!J:K,2,0))</f>
        <v>0</v>
      </c>
      <c r="N307" s="49">
        <f t="shared" si="80"/>
        <v>0</v>
      </c>
      <c r="O307" s="50">
        <f t="shared" si="81"/>
        <v>0</v>
      </c>
      <c r="P307" s="50">
        <f t="shared" si="82"/>
        <v>0</v>
      </c>
      <c r="Q307" s="50">
        <f t="shared" si="83"/>
        <v>0</v>
      </c>
      <c r="R307" s="50">
        <f t="shared" si="84"/>
        <v>0</v>
      </c>
      <c r="S307" s="50">
        <f t="shared" si="85"/>
        <v>0</v>
      </c>
      <c r="T307" s="50">
        <f t="shared" si="86"/>
        <v>0</v>
      </c>
      <c r="U307" s="50">
        <f t="shared" si="87"/>
        <v>0</v>
      </c>
      <c r="V307" s="50">
        <f t="shared" si="88"/>
        <v>0</v>
      </c>
      <c r="W307" s="50">
        <f t="shared" si="89"/>
        <v>0</v>
      </c>
      <c r="X307" s="50">
        <f t="shared" si="90"/>
        <v>0</v>
      </c>
      <c r="Y307" s="50">
        <f t="shared" si="91"/>
        <v>200</v>
      </c>
      <c r="Z307" s="50">
        <f t="shared" si="92"/>
        <v>0</v>
      </c>
      <c r="AA307" s="50">
        <f t="shared" si="93"/>
        <v>200</v>
      </c>
      <c r="AB307" s="50">
        <f t="shared" si="94"/>
        <v>0</v>
      </c>
      <c r="AC307" s="50">
        <f t="shared" si="95"/>
        <v>200</v>
      </c>
      <c r="AD307" s="50">
        <f t="shared" si="96"/>
        <v>0</v>
      </c>
      <c r="AE307" s="50">
        <f t="shared" si="97"/>
        <v>200</v>
      </c>
      <c r="AF307" s="50">
        <f t="shared" si="98"/>
        <v>0</v>
      </c>
      <c r="AG307" s="51" t="str">
        <f t="shared" si="99"/>
        <v xml:space="preserve">0 LandALL </v>
      </c>
      <c r="AI307" s="1">
        <v>8500</v>
      </c>
      <c r="AJ307" s="1" t="s">
        <v>927</v>
      </c>
    </row>
    <row r="308" spans="1:36" ht="15.95" customHeight="1">
      <c r="A308" s="41"/>
      <c r="B308" s="84"/>
      <c r="C308" s="43"/>
      <c r="D308" s="148"/>
      <c r="E308" s="42"/>
      <c r="F308" s="42"/>
      <c r="G308" s="42"/>
      <c r="H308" s="41"/>
      <c r="I308" s="45"/>
      <c r="J308" s="45"/>
      <c r="K308" s="54"/>
      <c r="L308" s="54"/>
      <c r="M308" s="48">
        <f>+IF(E308="",0,VLOOKUP(E308,[1]Code!J:K,2,0))</f>
        <v>0</v>
      </c>
      <c r="N308" s="49">
        <f t="shared" si="80"/>
        <v>0</v>
      </c>
      <c r="O308" s="50">
        <f t="shared" si="81"/>
        <v>0</v>
      </c>
      <c r="P308" s="50">
        <f t="shared" si="82"/>
        <v>0</v>
      </c>
      <c r="Q308" s="50">
        <f t="shared" si="83"/>
        <v>0</v>
      </c>
      <c r="R308" s="50">
        <f t="shared" si="84"/>
        <v>0</v>
      </c>
      <c r="S308" s="50">
        <f t="shared" si="85"/>
        <v>0</v>
      </c>
      <c r="T308" s="50">
        <f t="shared" si="86"/>
        <v>0</v>
      </c>
      <c r="U308" s="50">
        <f t="shared" si="87"/>
        <v>0</v>
      </c>
      <c r="V308" s="50">
        <f t="shared" si="88"/>
        <v>0</v>
      </c>
      <c r="W308" s="50">
        <f t="shared" si="89"/>
        <v>0</v>
      </c>
      <c r="X308" s="50">
        <f t="shared" si="90"/>
        <v>0</v>
      </c>
      <c r="Y308" s="50">
        <f t="shared" si="91"/>
        <v>0</v>
      </c>
      <c r="Z308" s="50">
        <f t="shared" si="92"/>
        <v>0</v>
      </c>
      <c r="AA308" s="50">
        <f t="shared" si="93"/>
        <v>0</v>
      </c>
      <c r="AB308" s="50">
        <f t="shared" si="94"/>
        <v>0</v>
      </c>
      <c r="AC308" s="50">
        <f t="shared" si="95"/>
        <v>0</v>
      </c>
      <c r="AD308" s="50">
        <f t="shared" si="96"/>
        <v>0</v>
      </c>
      <c r="AE308" s="50">
        <f t="shared" si="97"/>
        <v>0</v>
      </c>
      <c r="AF308" s="50">
        <f t="shared" si="98"/>
        <v>0</v>
      </c>
      <c r="AG308" s="51" t="str">
        <f t="shared" si="99"/>
        <v/>
      </c>
      <c r="AI308" s="1" t="s">
        <v>862</v>
      </c>
      <c r="AJ308" s="1" t="s">
        <v>863</v>
      </c>
    </row>
    <row r="309" spans="1:36" ht="15.95" customHeight="1">
      <c r="A309" s="41"/>
      <c r="B309" s="42"/>
      <c r="C309" s="140"/>
      <c r="D309" s="141"/>
      <c r="E309" s="42"/>
      <c r="F309" s="42"/>
      <c r="G309" s="42"/>
      <c r="H309" s="41"/>
      <c r="I309" s="45"/>
      <c r="J309" s="45"/>
      <c r="K309" s="46"/>
      <c r="L309" s="54"/>
      <c r="M309" s="48">
        <f>+IF(E309="",0,VLOOKUP(E309,[1]Code!J:K,2,0))</f>
        <v>0</v>
      </c>
      <c r="N309" s="49">
        <f t="shared" si="80"/>
        <v>0</v>
      </c>
      <c r="O309" s="50">
        <f t="shared" si="81"/>
        <v>0</v>
      </c>
      <c r="P309" s="50">
        <f t="shared" si="82"/>
        <v>0</v>
      </c>
      <c r="Q309" s="50">
        <f t="shared" si="83"/>
        <v>0</v>
      </c>
      <c r="R309" s="50">
        <f t="shared" si="84"/>
        <v>0</v>
      </c>
      <c r="S309" s="50">
        <f t="shared" si="85"/>
        <v>0</v>
      </c>
      <c r="T309" s="50">
        <f t="shared" si="86"/>
        <v>0</v>
      </c>
      <c r="U309" s="50">
        <f t="shared" si="87"/>
        <v>0</v>
      </c>
      <c r="V309" s="50">
        <f t="shared" si="88"/>
        <v>0</v>
      </c>
      <c r="W309" s="50">
        <f t="shared" si="89"/>
        <v>0</v>
      </c>
      <c r="X309" s="50">
        <f t="shared" si="90"/>
        <v>0</v>
      </c>
      <c r="Y309" s="50">
        <f t="shared" si="91"/>
        <v>0</v>
      </c>
      <c r="Z309" s="50">
        <f t="shared" si="92"/>
        <v>0</v>
      </c>
      <c r="AA309" s="50">
        <f t="shared" si="93"/>
        <v>0</v>
      </c>
      <c r="AB309" s="50">
        <f t="shared" si="94"/>
        <v>0</v>
      </c>
      <c r="AC309" s="50">
        <f t="shared" si="95"/>
        <v>0</v>
      </c>
      <c r="AD309" s="50">
        <f t="shared" si="96"/>
        <v>0</v>
      </c>
      <c r="AE309" s="50">
        <f t="shared" si="97"/>
        <v>0</v>
      </c>
      <c r="AF309" s="50">
        <f t="shared" si="98"/>
        <v>0</v>
      </c>
      <c r="AG309" s="51" t="str">
        <f t="shared" si="99"/>
        <v/>
      </c>
      <c r="AI309" s="1">
        <v>1100</v>
      </c>
      <c r="AJ309" s="1" t="s">
        <v>932</v>
      </c>
    </row>
    <row r="310" spans="1:36" ht="15.95" customHeight="1">
      <c r="A310" s="41"/>
      <c r="B310" s="42"/>
      <c r="C310" s="140"/>
      <c r="D310" s="147"/>
      <c r="E310" s="42"/>
      <c r="F310" s="42"/>
      <c r="G310" s="42"/>
      <c r="H310" s="41"/>
      <c r="I310" s="45"/>
      <c r="J310" s="45"/>
      <c r="K310" s="46"/>
      <c r="L310" s="54"/>
      <c r="M310" s="48">
        <f>+IF(E310="",0,VLOOKUP(E310,[1]Code!J:K,2,0))</f>
        <v>0</v>
      </c>
      <c r="N310" s="49">
        <f t="shared" si="80"/>
        <v>0</v>
      </c>
      <c r="O310" s="50">
        <f t="shared" si="81"/>
        <v>0</v>
      </c>
      <c r="P310" s="50">
        <f t="shared" si="82"/>
        <v>0</v>
      </c>
      <c r="Q310" s="50">
        <f t="shared" si="83"/>
        <v>0</v>
      </c>
      <c r="R310" s="50">
        <f t="shared" si="84"/>
        <v>0</v>
      </c>
      <c r="S310" s="50">
        <f t="shared" si="85"/>
        <v>0</v>
      </c>
      <c r="T310" s="50">
        <f t="shared" si="86"/>
        <v>0</v>
      </c>
      <c r="U310" s="50">
        <f t="shared" si="87"/>
        <v>0</v>
      </c>
      <c r="V310" s="50">
        <f t="shared" si="88"/>
        <v>0</v>
      </c>
      <c r="W310" s="50">
        <f t="shared" si="89"/>
        <v>0</v>
      </c>
      <c r="X310" s="50">
        <f t="shared" si="90"/>
        <v>0</v>
      </c>
      <c r="Y310" s="50">
        <f t="shared" si="91"/>
        <v>0</v>
      </c>
      <c r="Z310" s="50">
        <f t="shared" si="92"/>
        <v>0</v>
      </c>
      <c r="AA310" s="50">
        <f t="shared" si="93"/>
        <v>0</v>
      </c>
      <c r="AB310" s="50">
        <f t="shared" si="94"/>
        <v>0</v>
      </c>
      <c r="AC310" s="50">
        <f t="shared" si="95"/>
        <v>0</v>
      </c>
      <c r="AD310" s="50">
        <f t="shared" si="96"/>
        <v>0</v>
      </c>
      <c r="AE310" s="50">
        <f t="shared" si="97"/>
        <v>0</v>
      </c>
      <c r="AF310" s="50">
        <f t="shared" si="98"/>
        <v>0</v>
      </c>
      <c r="AG310" s="51" t="str">
        <f t="shared" si="99"/>
        <v/>
      </c>
      <c r="AI310" s="1">
        <v>1100</v>
      </c>
      <c r="AJ310" s="1" t="s">
        <v>932</v>
      </c>
    </row>
    <row r="311" spans="1:36" ht="15.95" customHeight="1">
      <c r="A311" s="41"/>
      <c r="B311" s="42"/>
      <c r="C311" s="140"/>
      <c r="D311" s="141"/>
      <c r="E311" s="42"/>
      <c r="F311" s="42"/>
      <c r="G311" s="42"/>
      <c r="H311" s="41"/>
      <c r="I311" s="45"/>
      <c r="J311" s="45"/>
      <c r="K311" s="46"/>
      <c r="L311" s="54"/>
      <c r="M311" s="48">
        <f>+IF(E311="",0,VLOOKUP(E311,[1]Code!J:K,2,0))</f>
        <v>0</v>
      </c>
      <c r="N311" s="49">
        <f t="shared" si="80"/>
        <v>0</v>
      </c>
      <c r="O311" s="50">
        <f t="shared" si="81"/>
        <v>0</v>
      </c>
      <c r="P311" s="50">
        <f t="shared" si="82"/>
        <v>0</v>
      </c>
      <c r="Q311" s="50">
        <f t="shared" si="83"/>
        <v>0</v>
      </c>
      <c r="R311" s="50">
        <f t="shared" si="84"/>
        <v>0</v>
      </c>
      <c r="S311" s="50">
        <f t="shared" si="85"/>
        <v>0</v>
      </c>
      <c r="T311" s="50">
        <f t="shared" si="86"/>
        <v>0</v>
      </c>
      <c r="U311" s="50">
        <f t="shared" si="87"/>
        <v>0</v>
      </c>
      <c r="V311" s="50">
        <f t="shared" si="88"/>
        <v>0</v>
      </c>
      <c r="W311" s="50">
        <f t="shared" si="89"/>
        <v>0</v>
      </c>
      <c r="X311" s="50">
        <f t="shared" si="90"/>
        <v>0</v>
      </c>
      <c r="Y311" s="50">
        <f t="shared" si="91"/>
        <v>0</v>
      </c>
      <c r="Z311" s="50">
        <f t="shared" si="92"/>
        <v>0</v>
      </c>
      <c r="AA311" s="50">
        <f t="shared" si="93"/>
        <v>0</v>
      </c>
      <c r="AB311" s="50">
        <f t="shared" si="94"/>
        <v>0</v>
      </c>
      <c r="AC311" s="50">
        <f t="shared" si="95"/>
        <v>0</v>
      </c>
      <c r="AD311" s="50">
        <f t="shared" si="96"/>
        <v>0</v>
      </c>
      <c r="AE311" s="50">
        <f t="shared" si="97"/>
        <v>0</v>
      </c>
      <c r="AF311" s="50">
        <f t="shared" si="98"/>
        <v>0</v>
      </c>
      <c r="AG311" s="51" t="str">
        <f t="shared" si="99"/>
        <v/>
      </c>
      <c r="AI311" s="1">
        <v>1100</v>
      </c>
      <c r="AJ311" s="1" t="s">
        <v>932</v>
      </c>
    </row>
    <row r="312" spans="1:36" ht="15.95" customHeight="1">
      <c r="A312" s="41"/>
      <c r="B312" s="42"/>
      <c r="C312" s="140"/>
      <c r="D312" s="140"/>
      <c r="E312" s="42"/>
      <c r="F312" s="42"/>
      <c r="G312" s="42"/>
      <c r="H312" s="41"/>
      <c r="I312" s="45"/>
      <c r="J312" s="45"/>
      <c r="K312" s="46"/>
      <c r="L312" s="54"/>
      <c r="M312" s="48">
        <f>+IF(E312="",0,VLOOKUP(E312,[1]Code!J:K,2,0))</f>
        <v>0</v>
      </c>
      <c r="N312" s="49">
        <f t="shared" si="80"/>
        <v>0</v>
      </c>
      <c r="O312" s="50">
        <f t="shared" si="81"/>
        <v>0</v>
      </c>
      <c r="P312" s="50">
        <f t="shared" si="82"/>
        <v>0</v>
      </c>
      <c r="Q312" s="50">
        <f t="shared" si="83"/>
        <v>0</v>
      </c>
      <c r="R312" s="50">
        <f t="shared" si="84"/>
        <v>0</v>
      </c>
      <c r="S312" s="50">
        <f t="shared" si="85"/>
        <v>0</v>
      </c>
      <c r="T312" s="50">
        <f t="shared" si="86"/>
        <v>0</v>
      </c>
      <c r="U312" s="50">
        <f t="shared" si="87"/>
        <v>0</v>
      </c>
      <c r="V312" s="50">
        <f t="shared" si="88"/>
        <v>0</v>
      </c>
      <c r="W312" s="50">
        <f t="shared" si="89"/>
        <v>0</v>
      </c>
      <c r="X312" s="50">
        <f t="shared" si="90"/>
        <v>0</v>
      </c>
      <c r="Y312" s="50">
        <f t="shared" si="91"/>
        <v>0</v>
      </c>
      <c r="Z312" s="50">
        <f t="shared" si="92"/>
        <v>0</v>
      </c>
      <c r="AA312" s="50">
        <f t="shared" si="93"/>
        <v>0</v>
      </c>
      <c r="AB312" s="50">
        <f t="shared" si="94"/>
        <v>0</v>
      </c>
      <c r="AC312" s="50">
        <f t="shared" si="95"/>
        <v>0</v>
      </c>
      <c r="AD312" s="50">
        <f t="shared" si="96"/>
        <v>0</v>
      </c>
      <c r="AE312" s="50">
        <f t="shared" si="97"/>
        <v>0</v>
      </c>
      <c r="AF312" s="50">
        <f t="shared" si="98"/>
        <v>0</v>
      </c>
      <c r="AG312" s="51" t="str">
        <f t="shared" si="99"/>
        <v/>
      </c>
      <c r="AI312" s="1">
        <v>1100</v>
      </c>
      <c r="AJ312" s="1" t="s">
        <v>932</v>
      </c>
    </row>
    <row r="313" spans="1:36" ht="15.95" customHeight="1">
      <c r="A313" s="41"/>
      <c r="B313" s="42"/>
      <c r="C313" s="140"/>
      <c r="D313" s="140"/>
      <c r="E313" s="42"/>
      <c r="F313" s="42"/>
      <c r="G313" s="42"/>
      <c r="H313" s="41"/>
      <c r="I313" s="45"/>
      <c r="J313" s="45"/>
      <c r="K313" s="46"/>
      <c r="L313" s="54"/>
      <c r="M313" s="48">
        <f>+IF(E313="",0,VLOOKUP(E313,[1]Code!J:K,2,0))</f>
        <v>0</v>
      </c>
      <c r="N313" s="49">
        <f t="shared" si="80"/>
        <v>0</v>
      </c>
      <c r="O313" s="50">
        <f t="shared" si="81"/>
        <v>0</v>
      </c>
      <c r="P313" s="50">
        <f t="shared" si="82"/>
        <v>0</v>
      </c>
      <c r="Q313" s="50">
        <f t="shared" si="83"/>
        <v>0</v>
      </c>
      <c r="R313" s="50">
        <f t="shared" si="84"/>
        <v>0</v>
      </c>
      <c r="S313" s="50">
        <f t="shared" si="85"/>
        <v>0</v>
      </c>
      <c r="T313" s="50">
        <f t="shared" si="86"/>
        <v>0</v>
      </c>
      <c r="U313" s="50">
        <f t="shared" si="87"/>
        <v>0</v>
      </c>
      <c r="V313" s="50">
        <f t="shared" si="88"/>
        <v>0</v>
      </c>
      <c r="W313" s="50">
        <f t="shared" si="89"/>
        <v>0</v>
      </c>
      <c r="X313" s="50">
        <f t="shared" si="90"/>
        <v>0</v>
      </c>
      <c r="Y313" s="50">
        <f t="shared" si="91"/>
        <v>0</v>
      </c>
      <c r="Z313" s="50">
        <f t="shared" si="92"/>
        <v>0</v>
      </c>
      <c r="AA313" s="50">
        <f t="shared" si="93"/>
        <v>0</v>
      </c>
      <c r="AB313" s="50">
        <f t="shared" si="94"/>
        <v>0</v>
      </c>
      <c r="AC313" s="50">
        <f t="shared" si="95"/>
        <v>0</v>
      </c>
      <c r="AD313" s="50">
        <f t="shared" si="96"/>
        <v>0</v>
      </c>
      <c r="AE313" s="50">
        <f t="shared" si="97"/>
        <v>0</v>
      </c>
      <c r="AF313" s="50">
        <f t="shared" si="98"/>
        <v>0</v>
      </c>
      <c r="AG313" s="51" t="str">
        <f t="shared" si="99"/>
        <v/>
      </c>
      <c r="AI313" s="1">
        <v>1100</v>
      </c>
      <c r="AJ313" s="1" t="s">
        <v>932</v>
      </c>
    </row>
    <row r="314" spans="1:36" ht="15.95" customHeight="1">
      <c r="A314" s="41"/>
      <c r="B314" s="42"/>
      <c r="C314" s="140"/>
      <c r="D314" s="140"/>
      <c r="E314" s="42"/>
      <c r="F314" s="42"/>
      <c r="G314" s="42"/>
      <c r="H314" s="41"/>
      <c r="I314" s="45"/>
      <c r="J314" s="45"/>
      <c r="K314" s="46"/>
      <c r="L314" s="54"/>
      <c r="M314" s="48">
        <f>+IF(E314="",0,VLOOKUP(E314,[1]Code!J:K,2,0))</f>
        <v>0</v>
      </c>
      <c r="N314" s="49">
        <f t="shared" si="80"/>
        <v>0</v>
      </c>
      <c r="O314" s="50">
        <f t="shared" si="81"/>
        <v>0</v>
      </c>
      <c r="P314" s="50">
        <f t="shared" si="82"/>
        <v>0</v>
      </c>
      <c r="Q314" s="50">
        <f t="shared" si="83"/>
        <v>0</v>
      </c>
      <c r="R314" s="50">
        <f t="shared" si="84"/>
        <v>0</v>
      </c>
      <c r="S314" s="50">
        <f t="shared" si="85"/>
        <v>0</v>
      </c>
      <c r="T314" s="50">
        <f t="shared" si="86"/>
        <v>0</v>
      </c>
      <c r="U314" s="50">
        <f t="shared" si="87"/>
        <v>0</v>
      </c>
      <c r="V314" s="50">
        <f t="shared" si="88"/>
        <v>0</v>
      </c>
      <c r="W314" s="50">
        <f t="shared" si="89"/>
        <v>0</v>
      </c>
      <c r="X314" s="50">
        <f t="shared" si="90"/>
        <v>0</v>
      </c>
      <c r="Y314" s="50">
        <f t="shared" si="91"/>
        <v>0</v>
      </c>
      <c r="Z314" s="50">
        <f t="shared" si="92"/>
        <v>0</v>
      </c>
      <c r="AA314" s="50">
        <f t="shared" si="93"/>
        <v>0</v>
      </c>
      <c r="AB314" s="50">
        <f t="shared" si="94"/>
        <v>0</v>
      </c>
      <c r="AC314" s="50">
        <f t="shared" si="95"/>
        <v>0</v>
      </c>
      <c r="AD314" s="50">
        <f t="shared" si="96"/>
        <v>0</v>
      </c>
      <c r="AE314" s="50">
        <f t="shared" si="97"/>
        <v>0</v>
      </c>
      <c r="AF314" s="50">
        <f t="shared" si="98"/>
        <v>0</v>
      </c>
      <c r="AG314" s="51" t="str">
        <f t="shared" si="99"/>
        <v/>
      </c>
      <c r="AI314" s="1">
        <v>1100</v>
      </c>
      <c r="AJ314" s="1" t="s">
        <v>932</v>
      </c>
    </row>
  </sheetData>
  <autoFilter ref="A8:AJ314" xr:uid="{00000000-0009-0000-0000-000008000000}"/>
  <mergeCells count="1">
    <mergeCell ref="C289:C290"/>
  </mergeCells>
  <dataValidations count="9">
    <dataValidation type="list" allowBlank="1" showInputMessage="1" showErrorMessage="1" sqref="B5" xr:uid="{9CFA33A7-7EA2-49E4-8E0C-DC29252BC15F}">
      <formula1>Division</formula1>
    </dataValidation>
    <dataValidation type="list" allowBlank="1" showInputMessage="1" showErrorMessage="1" sqref="F17:F18 F21:F23 F26:F28 F58:F84 F100:F111 F137:F143 F122:F133 F228 F230:F252 F255:F256 F259:F262 F278 F11:F15 F281 F286:F288 F312:F314 F290:F297 F301:F303 F308" xr:uid="{FBE42CA6-83EB-466E-827A-8906D66746F3}">
      <formula1>Model</formula1>
    </dataValidation>
    <dataValidation type="list" allowBlank="1" showInputMessage="1" showErrorMessage="1" sqref="G229:G236 G9:G220 G254:G314" xr:uid="{9D5E93DF-F48A-4CBC-B0BF-1DA1676F113B}">
      <formula1>Departmentall</formula1>
    </dataValidation>
    <dataValidation type="list" allowBlank="1" showInputMessage="1" showErrorMessage="1" sqref="E9:E236 E254:E314" xr:uid="{ACBC6600-98F3-4A36-B28F-21B8DBEFD404}">
      <formula1>Assetcode</formula1>
    </dataValidation>
    <dataValidation type="list" allowBlank="1" showInputMessage="1" showErrorMessage="1" sqref="F134:F136" xr:uid="{72D03E95-9AF6-4046-86A3-1E74B13015F0}">
      <formula1>#REF!</formula1>
    </dataValidation>
    <dataValidation type="list" allowBlank="1" showInputMessage="1" showErrorMessage="1" sqref="F164 F161:F162" xr:uid="{9022B20D-6BF1-4F29-A343-F990E7579AA3}">
      <formula1>update</formula1>
    </dataValidation>
    <dataValidation type="list" allowBlank="1" showInputMessage="1" showErrorMessage="1" sqref="B9:B238 B240:B314" xr:uid="{47F850B6-77EF-4E3E-BB3B-0E22BE220FDA}">
      <formula1>Category</formula1>
    </dataValidation>
    <dataValidation type="list" allowBlank="1" showInputMessage="1" showErrorMessage="1" sqref="G237:G253" xr:uid="{79566BCD-0CE0-4B24-A992-1C0C02E42ED2}">
      <formula1>Department</formula1>
    </dataValidation>
    <dataValidation type="list" allowBlank="1" showInputMessage="1" showErrorMessage="1" sqref="E237:E253" xr:uid="{91C72426-B6BA-4A43-B274-809CC5AC7103}">
      <formula1>Asset</formula1>
    </dataValidation>
  </dataValidation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(Naveen)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Kumar2, (CB)/GG</dc:creator>
  <cp:lastModifiedBy>Naveen Kumar2, (CB)/GG</cp:lastModifiedBy>
  <dcterms:created xsi:type="dcterms:W3CDTF">2026-05-20T06:54:05Z</dcterms:created>
  <dcterms:modified xsi:type="dcterms:W3CDTF">2026-05-20T06:54:07Z</dcterms:modified>
</cp:coreProperties>
</file>